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Within-Force" sheetId="2" state="visible" r:id="rId4"/>
    <sheet name="Cross-Force" sheetId="3" state="visible" r:id="rId5"/>
    <sheet name="Empirical Computation" sheetId="4" state="visible" r:id="rId6"/>
    <sheet name="Mechanism Adjustments" sheetId="5" state="visible" r:id="rId7"/>
    <sheet name="Trend Censu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<sst xmlns="http://schemas.openxmlformats.org/spreadsheetml/2006/main" count="559" uniqueCount="327">
  <si>
    <t xml:space="preserve">PRISM v3.4 — Attenuation Calibration Summary</t>
  </si>
  <si>
    <t xml:space="preserve">Calibration version: calibrated_v3.4_april2026</t>
  </si>
  <si>
    <t xml:space="preserve">Calibration metadata</t>
  </si>
  <si>
    <t xml:space="preserve">Trend base</t>
  </si>
  <si>
    <t xml:space="preserve">Unique pairs evaluated</t>
  </si>
  <si>
    <t xml:space="preserve">J₀ baseline (random-pair mean)</t>
  </si>
  <si>
    <t xml:space="preserve">Trend-weighted mean attenuation</t>
  </si>
  <si>
    <t xml:space="preserve">Within-force clamp</t>
  </si>
  <si>
    <t xml:space="preserve">[0.10, 0.45]</t>
  </si>
  <si>
    <t xml:space="preserve">Cross-force clamp</t>
  </si>
  <si>
    <t xml:space="preserve">[0.00, 0.45]</t>
  </si>
  <si>
    <t xml:space="preserve">Mechanism adjustment range</t>
  </si>
  <si>
    <t xml:space="preserve">±0.03 … ±0.10</t>
  </si>
  <si>
    <t xml:space="preserve">Force distribution</t>
  </si>
  <si>
    <t xml:space="preserve">Force</t>
  </si>
  <si>
    <t xml:space="preserve">n trends</t>
  </si>
  <si>
    <t xml:space="preserve">% of base</t>
  </si>
  <si>
    <t xml:space="preserve">Consumer</t>
  </si>
  <si>
    <t xml:space="preserve">Customer</t>
  </si>
  <si>
    <t xml:space="preserve">Technology</t>
  </si>
  <si>
    <t xml:space="preserve">Government</t>
  </si>
  <si>
    <t xml:space="preserve">Environmental</t>
  </si>
  <si>
    <t xml:space="preserve">Competitive</t>
  </si>
  <si>
    <t xml:space="preserve">TOTAL</t>
  </si>
  <si>
    <t xml:space="preserve">Within-force overlap — v3.4 vs v3.1</t>
  </si>
  <si>
    <t xml:space="preserve">v3.4 final</t>
  </si>
  <si>
    <t xml:space="preserve">v3.1 final</t>
  </si>
  <si>
    <t xml:space="preserve">Δ</t>
  </si>
  <si>
    <t xml:space="preserve">Direction</t>
  </si>
  <si>
    <t xml:space="preserve">Per-force effective attenuation — v3.4 vs v3.1</t>
  </si>
  <si>
    <t xml:space="preserve">Row-mean cross overlap</t>
  </si>
  <si>
    <t xml:space="preserve">eff_att_NEW</t>
  </si>
  <si>
    <t xml:space="preserve">v3.1 eff_att</t>
  </si>
  <si>
    <t xml:space="preserve">Trend-weighted mean attenuation (sanity check)</t>
  </si>
  <si>
    <t xml:space="preserve">Expected: 0.4492 ± rounding vs v3.1 0.446</t>
  </si>
  <si>
    <t xml:space="preserve">Within-Force Overlap — Empirical + Mechanism</t>
  </si>
  <si>
    <t xml:space="preserve">Method: mean weighted Jaccard across all (t,t') pairs within a force → excess-over-baseline → ± mechanism adj → clamp [0.10, 0.45]</t>
  </si>
  <si>
    <t xml:space="preserve">n</t>
  </si>
  <si>
    <t xml:space="preserve">raw mean J</t>
  </si>
  <si>
    <t xml:space="preserve">excess (J − J₀)/(1−J₀)</t>
  </si>
  <si>
    <t xml:space="preserve">mech adj</t>
  </si>
  <si>
    <t xml:space="preserve">excess + mech</t>
  </si>
  <si>
    <t xml:space="preserve">FINAL (clamped)</t>
  </si>
  <si>
    <t xml:space="preserve">Rationale for mechanism adj</t>
  </si>
  <si>
    <t xml:space="preserve">Consumer trends span premium / sustainability / demographics / occasions / geography / value-trading — little mechanism clustering. Expanded by ultra-fast-fashion; diversity preserved. Minor −0.03 anti-cluster.</t>
  </si>
  <si>
    <t xml:space="preserve">Retail-media, agentic-commerce, DTC-pivot, live-commerce — channels partially coexist but each is a distinct buying motion. No adjustment — empirical excess sufficient.</t>
  </si>
  <si>
    <t xml:space="preserve">AI cluster (8 trends) + bio/chem cluster (5) + neurocosmetics tie in bio/chem. Mild +0.05 to recognize AI-stack mechanism clustering beyond structural score.</t>
  </si>
  <si>
    <t xml:space="preserve">European Green Deal as common root: PFAS, Microplastics, PPWR, EUDR, Green Claims, AI Act, MoCRA. Adds +0.05 to already-high empirical signal — strongest coupling by construction.</t>
  </si>
  <si>
    <t xml:space="preserve">Climate + water + palm + packaging mass balance — share substrate economics. +0.05 for supply-chain mechanism coupling.</t>
  </si>
  <si>
    <t xml:space="preserve">Each trend is about a *different* competitor (P&amp;G, Unilever, L'Oréal, Reckitt, K-beauty, Amazon, AfCFTA local champions). Genuine diversity. −0.05 reflects structural distinction.</t>
  </si>
  <si>
    <t xml:space="preserve">Notes</t>
  </si>
  <si>
    <t xml:space="preserve">• </t>
  </si>
  <si>
    <t xml:space="preserve">J₀ (random-pair baseline) = 0.4592. Excess transform: (J−J₀)/(1−J₀), clamped ≥ 0.</t>
  </si>
  <si>
    <t xml:space="preserve">Floor 0.10 prevents structurally-orthogonal trends in same force from summing undampened (cumulative-mass sanity).</t>
  </si>
  <si>
    <t xml:space="preserve">Ceiling 0.45 prevents any single force from losing all contribution in cumulative-mass calc.</t>
  </si>
  <si>
    <t xml:space="preserve">Consumer and Competitive floor-bind; four empirical excess signals are &gt; 0 and drive the final value.</t>
  </si>
  <si>
    <t xml:space="preserve">Cross-Force Overlap Matrix (FINAL, v3.4)</t>
  </si>
  <si>
    <t xml:space="preserve">Read as: row-force signal covered by column-force. Asymmetric by construction.</t>
  </si>
  <si>
    <t xml:space="preserve">↓ From  /  To →</t>
  </si>
  <si>
    <t xml:space="preserve">—</t>
  </si>
  <si>
    <t xml:space="preserve">Top 12 cross-force couplings — full decomposition</t>
  </si>
  <si>
    <t xml:space="preserve">Rank</t>
  </si>
  <si>
    <t xml:space="preserve">From</t>
  </si>
  <si>
    <t xml:space="preserve">To</t>
  </si>
  <si>
    <t xml:space="preserve">raw J</t>
  </si>
  <si>
    <t xml:space="preserve">excess</t>
  </si>
  <si>
    <t xml:space="preserve">× asymm (√n_j/n_i, cap 1.5)</t>
  </si>
  <si>
    <t xml:space="preserve">FINAL (clamped 0–0.45)</t>
  </si>
  <si>
    <t xml:space="preserve">Rationale</t>
  </si>
  <si>
    <t xml:space="preserve">PFAS, PPWR, EUDR, Green Claims — environmental issues become regulatory.</t>
  </si>
  <si>
    <t xml:space="preserve">Retailer compliance scope expanding (GPSR, DPP, EUDR); channel carries reg burden.</t>
  </si>
  <si>
    <t xml:space="preserve">Same coupling, reverse direction; regulatory action targets env impact.</t>
  </si>
  <si>
    <t xml:space="preserve">Regulation triggers reformulation R&amp;D (AI Act, MoCRA, PFAS reformulation).</t>
  </si>
  <si>
    <t xml:space="preserve">Retail media + agentic commerce = customer-tech hybrid.</t>
  </si>
  <si>
    <t xml:space="preserve">Regulation mandates retailer disclosure / product passports / take-back.</t>
  </si>
  <si>
    <t xml:space="preserve">Technology in regulatory scope (AI Act, Digital Product Passport).</t>
  </si>
  <si>
    <t xml:space="preserve">Supply constraints drive bio-chem / fermentation / palm substitutes.</t>
  </si>
  <si>
    <t xml:space="preserve">AI personalization reshapes retailer assortment and channel economics.</t>
  </si>
  <si>
    <t xml:space="preserve">Retailer private-label pushes low-footprint positioning (e.g., Aldi, Lidl).</t>
  </si>
  <si>
    <t xml:space="preserve">New bio-chem / formulation reduces env footprint.</t>
  </si>
  <si>
    <t xml:space="preserve">Sustainability claims reshape retailer gate-keeping.</t>
  </si>
  <si>
    <t xml:space="preserve">Empirical Computation — Formulas &amp; Worked Example</t>
  </si>
  <si>
    <t xml:space="preserve">Formulas</t>
  </si>
  <si>
    <t xml:space="preserve">Weighted Jaccard</t>
  </si>
  <si>
    <t xml:space="preserve">J(x,y) = Σ min(e_x,c, e_y,c) / Σ max(e_x,c, e_y,c)  for c in 12 FMCG categories</t>
  </si>
  <si>
    <t xml:space="preserve">Random-pair baseline</t>
  </si>
  <si>
    <t xml:space="preserve">J₀ = mean J over all unordered pairs in the full 95-trend base</t>
  </si>
  <si>
    <t xml:space="preserve">Excess-over-baseline</t>
  </si>
  <si>
    <t xml:space="preserve">e(J̄) = max(0, (J̄ − J₀) / (1 − J₀))</t>
  </si>
  <si>
    <t xml:space="preserve">Asymmetric normalization</t>
  </si>
  <si>
    <t xml:space="preserve">asymm_ij = e_ij × min(1.5, √(n_j / n_i))       [cross-force only]</t>
  </si>
  <si>
    <t xml:space="preserve">Final (within-force)</t>
  </si>
  <si>
    <t xml:space="preserve">O_ii_final = clamp[0.10, 0.45]( e_ii + mech_ii )</t>
  </si>
  <si>
    <t xml:space="preserve">Final (cross-force)</t>
  </si>
  <si>
    <t xml:space="preserve">O_ij_final = clamp[0.00, 0.45]( asymm_ij + mech_ij )</t>
  </si>
  <si>
    <t xml:space="preserve">Effective attenuation</t>
  </si>
  <si>
    <t xml:space="preserve">eff_att_i = 0.5 × (1 − mean_{j ≠ i} O_ij_final)</t>
  </si>
  <si>
    <t xml:space="preserve">Worked example — weighted Jaccard on two trends</t>
  </si>
  <si>
    <t xml:space="preserve">Trend A</t>
  </si>
  <si>
    <t xml:space="preserve">consumer_r01 — Private Label Structural Penetration in Europe</t>
  </si>
  <si>
    <t xml:space="preserve">Trend B</t>
  </si>
  <si>
    <t xml:space="preserve">government_r01 — EU PFAS Universal Restriction</t>
  </si>
  <si>
    <t xml:space="preserve">Category</t>
  </si>
  <si>
    <t xml:space="preserve">e_A</t>
  </si>
  <si>
    <t xml:space="preserve">e_B</t>
  </si>
  <si>
    <t xml:space="preserve">min</t>
  </si>
  <si>
    <t xml:space="preserve">max</t>
  </si>
  <si>
    <t xml:space="preserve">Hair: Color</t>
  </si>
  <si>
    <t xml:space="preserve">Hair: Care</t>
  </si>
  <si>
    <t xml:space="preserve">Hair: Styling</t>
  </si>
  <si>
    <t xml:space="preserve">Hair: Body</t>
  </si>
  <si>
    <t xml:space="preserve">LHC: FCN</t>
  </si>
  <si>
    <t xml:space="preserve">LHC: FCA</t>
  </si>
  <si>
    <t xml:space="preserve">LHC: FFI</t>
  </si>
  <si>
    <t xml:space="preserve">LHC: LAD</t>
  </si>
  <si>
    <t xml:space="preserve">LHC: HDW</t>
  </si>
  <si>
    <t xml:space="preserve">LHC: ADW</t>
  </si>
  <si>
    <t xml:space="preserve">LHC: HSC</t>
  </si>
  <si>
    <t xml:space="preserve">LHC: IC</t>
  </si>
  <si>
    <t xml:space="preserve">Σ</t>
  </si>
  <si>
    <t xml:space="preserve">J (this pair)</t>
  </si>
  <si>
    <t xml:space="preserve">J₀ baseline</t>
  </si>
  <si>
    <t xml:space="preserve">Excess transform</t>
  </si>
  <si>
    <t xml:space="preserve">Mechanism Adjustments — Cell-by-Cell Rationale</t>
  </si>
  <si>
    <t xml:space="preserve">Adjustment range ±0.03 … ±0.10. Additive; applied after empirical/asymm transform; final value clamped.</t>
  </si>
  <si>
    <t xml:space="preserve">Within-force adjustments</t>
  </si>
  <si>
    <t xml:space="preserve">Adj</t>
  </si>
  <si>
    <t xml:space="preserve">Sign</t>
  </si>
  <si>
    <t xml:space="preserve">anti-cluster</t>
  </si>
  <si>
    <t xml:space="preserve">neutral</t>
  </si>
  <si>
    <t xml:space="preserve">cluster</t>
  </si>
  <si>
    <t xml:space="preserve">Cross-force adjustments (non-zero only)</t>
  </si>
  <si>
    <t xml:space="preserve">Trend Census — 95 trends × 12 FMCG categories (exposure scores 0–5)</t>
  </si>
  <si>
    <t xml:space="preserve">#</t>
  </si>
  <si>
    <t xml:space="preserve">Trend ID</t>
  </si>
  <si>
    <t xml:space="preserve">Name</t>
  </si>
  <si>
    <t xml:space="preserve">Σ exposure</t>
  </si>
  <si>
    <t xml:space="preserve">consumer_r01</t>
  </si>
  <si>
    <t xml:space="preserve">Private Label Structural Penetration in Europe</t>
  </si>
  <si>
    <t xml:space="preserve">consumer_r02</t>
  </si>
  <si>
    <t xml:space="preserve">GLP-1 Drugs Reshape Consumer Spending Patterns</t>
  </si>
  <si>
    <t xml:space="preserve">consumer_r03</t>
  </si>
  <si>
    <t xml:space="preserve">Premiumization Acceleration in Hair Care</t>
  </si>
  <si>
    <t xml:space="preserve">consumer_r04</t>
  </si>
  <si>
    <t xml:space="preserve">Conscious Consumption and Cleanical Beauty</t>
  </si>
  <si>
    <t xml:space="preserve">consumer_r05</t>
  </si>
  <si>
    <t xml:space="preserve">Silver Economy — Aging Population Shifts Category Demand</t>
  </si>
  <si>
    <t xml:space="preserve">consumer_r06</t>
  </si>
  <si>
    <t xml:space="preserve">Cost-of-Living Squeeze and Persistent Trading Down</t>
  </si>
  <si>
    <t xml:space="preserve">consumer_r07</t>
  </si>
  <si>
    <t xml:space="preserve">Scalp Care Emerges as Standalone Category</t>
  </si>
  <si>
    <t xml:space="preserve">consumer_r08</t>
  </si>
  <si>
    <t xml:space="preserve">Male Grooming Structural Growth</t>
  </si>
  <si>
    <t xml:space="preserve">consumer_r09</t>
  </si>
  <si>
    <t xml:space="preserve">Fragrance and Sensory Premiumization in Home Care</t>
  </si>
  <si>
    <t xml:space="preserve">consumer_r10</t>
  </si>
  <si>
    <t xml:space="preserve">Hair Loss and Thinning Treatments Enter Consumer Mainstream</t>
  </si>
  <si>
    <t xml:space="preserve">consumer_r11</t>
  </si>
  <si>
    <t xml:space="preserve">Gen Z Dupe Culture and Ingredient Literacy</t>
  </si>
  <si>
    <t xml:space="preserve">consumer_r13</t>
  </si>
  <si>
    <t xml:space="preserve">Refill and Reuse Economy in Household Care</t>
  </si>
  <si>
    <t xml:space="preserve">consumer_r14</t>
  </si>
  <si>
    <t xml:space="preserve">Between-Wash Fabric Care as Standalone Consumption Occasion</t>
  </si>
  <si>
    <t xml:space="preserve">consumer_r15</t>
  </si>
  <si>
    <t xml:space="preserve">Hair Styling and Maintenance Between Washes</t>
  </si>
  <si>
    <t xml:space="preserve">consumer_r16</t>
  </si>
  <si>
    <t xml:space="preserve">China C-Beauty Nationalism and Domestic Brand Preference</t>
  </si>
  <si>
    <t xml:space="preserve">consumer_r17</t>
  </si>
  <si>
    <t xml:space="preserve">India Premium Affordability and Middle-Class Expansion</t>
  </si>
  <si>
    <t xml:space="preserve">consumer_r18</t>
  </si>
  <si>
    <t xml:space="preserve">US Hispanic/Latino Consumers Drive Hair and LHC Category Growth</t>
  </si>
  <si>
    <t xml:space="preserve">consumer_r19</t>
  </si>
  <si>
    <t xml:space="preserve">Southeast Asia Digital-First Beauty Market</t>
  </si>
  <si>
    <t xml:space="preserve">consumer_r20</t>
  </si>
  <si>
    <t xml:space="preserve">Brazil/Mexico Premiumization and Nearshoring Beneficiary</t>
  </si>
  <si>
    <t xml:space="preserve">consumer_r21</t>
  </si>
  <si>
    <t xml:space="preserve">Longevity Medicine Crossover into Beauty and Hair Care</t>
  </si>
  <si>
    <t xml:space="preserve">consumer_r22</t>
  </si>
  <si>
    <t xml:space="preserve">Laundry Sheet/Strip Format Disruption</t>
  </si>
  <si>
    <t xml:space="preserve">consumer_r23</t>
  </si>
  <si>
    <t xml:space="preserve">Wellness-to-Beauty Convergence: Ingestibles + Topicals</t>
  </si>
  <si>
    <t xml:space="preserve">consumer_r24</t>
  </si>
  <si>
    <t xml:space="preserve">Natural/Textured Hair as Mainstream Global Category</t>
  </si>
  <si>
    <t xml:space="preserve">consumer_r25</t>
  </si>
  <si>
    <t xml:space="preserve">Birth Rate Collapse and Household Atomisation</t>
  </si>
  <si>
    <t xml:space="preserve">consumer_r26</t>
  </si>
  <si>
    <t xml:space="preserve">Gen Alpha (2010+) Enters Personal-Care Category</t>
  </si>
  <si>
    <t xml:space="preserve">consumer_r27</t>
  </si>
  <si>
    <t xml:space="preserve">Hand-Dish to Auto-Dish Conversion in Emerging Markets</t>
  </si>
  <si>
    <t xml:space="preserve">consumer_r28</t>
  </si>
  <si>
    <t xml:space="preserve">Laundry Scent Boosters as Structural Premium Category</t>
  </si>
  <si>
    <t xml:space="preserve">consumer_r29</t>
  </si>
  <si>
    <t xml:space="preserve">Delicates &amp; Performance Fabric Care Revival (Perwoll Occasion)</t>
  </si>
  <si>
    <t xml:space="preserve">consumer_r30</t>
  </si>
  <si>
    <t xml:space="preserve">Longevity Economy — LHC / Home Hygiene Split</t>
  </si>
  <si>
    <t xml:space="preserve">consumer_r31</t>
  </si>
  <si>
    <t xml:space="preserve">Cleaning-Fluency Generational Decline (Gen Z Home-Care Literacy)</t>
  </si>
  <si>
    <t xml:space="preserve">consumer_r32</t>
  </si>
  <si>
    <t xml:space="preserve">Beauty-as-Medicine / Tele-Derm DTC (Hair &amp; Scalp)</t>
  </si>
  <si>
    <t xml:space="preserve">customer_r01</t>
  </si>
  <si>
    <t xml:space="preserve">Discount Retail Channel Expansion in Europe</t>
  </si>
  <si>
    <t xml:space="preserve">customer_r02</t>
  </si>
  <si>
    <t xml:space="preserve">E-Commerce Profit Pool Maturation</t>
  </si>
  <si>
    <t xml:space="preserve">customer_r03</t>
  </si>
  <si>
    <t xml:space="preserve">Retailer Consolidation and Power Concentration</t>
  </si>
  <si>
    <t xml:space="preserve">customer_r04</t>
  </si>
  <si>
    <t xml:space="preserve">TikTok Shop Becomes Top-5 FMCG Channel</t>
  </si>
  <si>
    <t xml:space="preserve">customer_r06</t>
  </si>
  <si>
    <t xml:space="preserve">FMCG Subscription and Loyalty Ecosystem Lock-in</t>
  </si>
  <si>
    <t xml:space="preserve">customer_r07</t>
  </si>
  <si>
    <t xml:space="preserve">Professional Salon Channel to Consumer Crossover</t>
  </si>
  <si>
    <t xml:space="preserve">customer_r08</t>
  </si>
  <si>
    <t xml:space="preserve">US Retail Media Networks Reshape Brand-Customer Economics</t>
  </si>
  <si>
    <t xml:space="preserve">customer_r09</t>
  </si>
  <si>
    <t xml:space="preserve">Agentic Commerce Reshapes Retailer-Brand Power Dynamics</t>
  </si>
  <si>
    <t xml:space="preserve">customer_r10</t>
  </si>
  <si>
    <t xml:space="preserve">Chinese Live-Commerce / Douyin Model Exports</t>
  </si>
  <si>
    <t xml:space="preserve">customer_r11</t>
  </si>
  <si>
    <t xml:space="preserve">Retailer Loyalty Program Cannibalisation of Trade Spend</t>
  </si>
  <si>
    <t xml:space="preserve">technology_r01</t>
  </si>
  <si>
    <t xml:space="preserve">AI-Driven Formulation and Speed-to-Market</t>
  </si>
  <si>
    <t xml:space="preserve">technology_r02</t>
  </si>
  <si>
    <t xml:space="preserve">Bio-Based and Green Chemistry Alternatives</t>
  </si>
  <si>
    <t xml:space="preserve">technology_r03</t>
  </si>
  <si>
    <t xml:space="preserve">Concentrated and Solid Formats Innovation</t>
  </si>
  <si>
    <t xml:space="preserve">technology_r04</t>
  </si>
  <si>
    <t xml:space="preserve">Microbiome Science for Hair and Skin</t>
  </si>
  <si>
    <t xml:space="preserve">technology_r05</t>
  </si>
  <si>
    <t xml:space="preserve">Manufacturing Automation and Industry 4.0</t>
  </si>
  <si>
    <t xml:space="preserve">technology_r06</t>
  </si>
  <si>
    <t xml:space="preserve">Retail Media Networks as Primary FMCG Channel</t>
  </si>
  <si>
    <t xml:space="preserve">technology_r07</t>
  </si>
  <si>
    <t xml:space="preserve">AI-Powered Personalization at Scale</t>
  </si>
  <si>
    <t xml:space="preserve">technology_r08</t>
  </si>
  <si>
    <t xml:space="preserve">Connected Appliances and Auto-Dosing Transform Detergent Economics</t>
  </si>
  <si>
    <t xml:space="preserve">technology_r10</t>
  </si>
  <si>
    <t xml:space="preserve">Generative AI Content and Marketing Efficiency Revolution</t>
  </si>
  <si>
    <t xml:space="preserve">technology_r11</t>
  </si>
  <si>
    <t xml:space="preserve">Agentic Commerce: AI Agents Make Autonomous Purchase Decisions</t>
  </si>
  <si>
    <t xml:space="preserve">technology_r12</t>
  </si>
  <si>
    <t xml:space="preserve">AI Agent Brand Invisibility in Low-Consideration Categories</t>
  </si>
  <si>
    <t xml:space="preserve">technology_r13</t>
  </si>
  <si>
    <t xml:space="preserve">Generative Search (GEO) Replaces Traditional Product Discovery — Expanded</t>
  </si>
  <si>
    <t xml:space="preserve">technology_r14</t>
  </si>
  <si>
    <t xml:space="preserve">Peptide and Bioactive Hair Science</t>
  </si>
  <si>
    <t xml:space="preserve">technology_r15</t>
  </si>
  <si>
    <t xml:space="preserve">Precision Fermentation Disrupts FMCG Ingredient Supply Chains</t>
  </si>
  <si>
    <t xml:space="preserve">technology_r16</t>
  </si>
  <si>
    <t xml:space="preserve">Synthetic Biology Enables Novel Surfactants and Fragrances</t>
  </si>
  <si>
    <t xml:space="preserve">technology_r17</t>
  </si>
  <si>
    <t xml:space="preserve">Neurocosmetics and Sensory-Science Hair Care</t>
  </si>
  <si>
    <t xml:space="preserve">technology_r18</t>
  </si>
  <si>
    <t xml:space="preserve">Bathroom and Laundry-Room IoT — Connected Dispensers, Smart Mirrors</t>
  </si>
  <si>
    <t xml:space="preserve">government_r01</t>
  </si>
  <si>
    <t xml:space="preserve">EU PFAS Universal Restriction</t>
  </si>
  <si>
    <t xml:space="preserve">government_r02</t>
  </si>
  <si>
    <t xml:space="preserve">EU Microplastics Ban — Phase 2 Implementation</t>
  </si>
  <si>
    <t xml:space="preserve">government_r03</t>
  </si>
  <si>
    <t xml:space="preserve">EU Cosmetics Regulation Omnibus VII/VIII Revision</t>
  </si>
  <si>
    <t xml:space="preserve">government_r04</t>
  </si>
  <si>
    <t xml:space="preserve">EU PPWR — Packaging and Packaging Waste Regulation</t>
  </si>
  <si>
    <t xml:space="preserve">government_r05</t>
  </si>
  <si>
    <t xml:space="preserve">EU Green Claims Directive / EmpCo Enforcement</t>
  </si>
  <si>
    <t xml:space="preserve">government_r06</t>
  </si>
  <si>
    <t xml:space="preserve">EU Deforestation Regulation (EUDR)</t>
  </si>
  <si>
    <t xml:space="preserve">government_r07</t>
  </si>
  <si>
    <t xml:space="preserve">EU Digital Product Passport (DPP)</t>
  </si>
  <si>
    <t xml:space="preserve">government_r08</t>
  </si>
  <si>
    <t xml:space="preserve">Tariffs, Trade Wars, and Deglobalization (US-EU-China)</t>
  </si>
  <si>
    <t xml:space="preserve">government_r09</t>
  </si>
  <si>
    <t xml:space="preserve">US Tariffs and Reshoring Pressure on Imported FMCG Inputs</t>
  </si>
  <si>
    <t xml:space="preserve">government_r10</t>
  </si>
  <si>
    <t xml:space="preserve">EU AI Act Compliance Costs and Speed-to-Market Friction</t>
  </si>
  <si>
    <t xml:space="preserve">government_r11</t>
  </si>
  <si>
    <t xml:space="preserve">Biodiversity Regulation and Nature-Related Supply Chain Mandates</t>
  </si>
  <si>
    <t xml:space="preserve">government_r12</t>
  </si>
  <si>
    <t xml:space="preserve">EU Textile Strategy and Circular Fashion Mandates</t>
  </si>
  <si>
    <t xml:space="preserve">government_r13</t>
  </si>
  <si>
    <t xml:space="preserve">MoCRA + US State Cosmetics Regulation (CA Prop 65, NY, WA)</t>
  </si>
  <si>
    <t xml:space="preserve">environmental_r01</t>
  </si>
  <si>
    <t xml:space="preserve">Palm Oil Supply Chain Disruption (Indonesia B50)</t>
  </si>
  <si>
    <t xml:space="preserve">environmental_r02</t>
  </si>
  <si>
    <t xml:space="preserve">Water Scarcity Drives Low-Water Formulations</t>
  </si>
  <si>
    <t xml:space="preserve">environmental_r03</t>
  </si>
  <si>
    <t xml:space="preserve">Carbon Border Adjustment and Scope 3 Reporting</t>
  </si>
  <si>
    <t xml:space="preserve">environmental_r04</t>
  </si>
  <si>
    <t xml:space="preserve">EPR Fee Escalation and Eco-Modulation</t>
  </si>
  <si>
    <t xml:space="preserve">environmental_r05</t>
  </si>
  <si>
    <t xml:space="preserve">Climate-Driven Pest Pattern Shifts (Insecticide Demand)</t>
  </si>
  <si>
    <t xml:space="preserve">environmental_r06</t>
  </si>
  <si>
    <t xml:space="preserve">Supply Chain Nearshoring and Geopolitical Diversification</t>
  </si>
  <si>
    <t xml:space="preserve">environmental_r07</t>
  </si>
  <si>
    <t xml:space="preserve">Energy Cost Volatility and European Manufacturing Competitiveness</t>
  </si>
  <si>
    <t xml:space="preserve">environmental_r08</t>
  </si>
  <si>
    <t xml:space="preserve">Textile Longevity and Garment Life Extension Economy</t>
  </si>
  <si>
    <t xml:space="preserve">environmental_r09</t>
  </si>
  <si>
    <t xml:space="preserve">Climate Adaptation Costs for European Manufacturing</t>
  </si>
  <si>
    <t xml:space="preserve">environmental_r10</t>
  </si>
  <si>
    <t xml:space="preserve">Freshwater Crisis Accelerates Waterless Formulation Mandate</t>
  </si>
  <si>
    <t xml:space="preserve">environmental_r11</t>
  </si>
  <si>
    <t xml:space="preserve">Scope 3+ Value Chain Decarbonization Mandates</t>
  </si>
  <si>
    <t xml:space="preserve">competitive_r01</t>
  </si>
  <si>
    <t xml:space="preserve">Reckitt Essential Home Divestiture</t>
  </si>
  <si>
    <t xml:space="preserve">competitive_r02</t>
  </si>
  <si>
    <t xml:space="preserve">Unilever Beauty and Wellbeing Pivot</t>
  </si>
  <si>
    <t xml:space="preserve">competitive_r03</t>
  </si>
  <si>
    <t xml:space="preserve">P&amp;G Superiority Framework and Innovation Fortress</t>
  </si>
  <si>
    <t xml:space="preserve">competitive_r04</t>
  </si>
  <si>
    <t xml:space="preserve">DTC and Indie Brand Disruption in Hair</t>
  </si>
  <si>
    <t xml:space="preserve">competitive_r05</t>
  </si>
  <si>
    <t xml:space="preserve">Chinese FMCG Brands Enter European Market</t>
  </si>
  <si>
    <t xml:space="preserve">competitive_r06</t>
  </si>
  <si>
    <t xml:space="preserve">Emerging Markets Growth Divergence — IMEA Leads</t>
  </si>
  <si>
    <t xml:space="preserve">competitive_r07</t>
  </si>
  <si>
    <t xml:space="preserve">L'Oreal Tech-Beauty Platform Strategy</t>
  </si>
  <si>
    <t xml:space="preserve">competitive_r08</t>
  </si>
  <si>
    <t xml:space="preserve">K-Beauty and J-Beauty Export Wave into NA and EU Hair Care</t>
  </si>
  <si>
    <t xml:space="preserve">competitive_r09</t>
  </si>
  <si>
    <t xml:space="preserve">Sub-Saharan Africa: $200B FMCG Frontier by 2030</t>
  </si>
  <si>
    <t xml:space="preserve">competitive_r10</t>
  </si>
  <si>
    <t xml:space="preserve">Amazon/Platform Vertical Integration into FMCG</t>
  </si>
  <si>
    <t xml:space="preserve">competitive_r11</t>
  </si>
  <si>
    <t xml:space="preserve">L'Oreal NVIDIA AI Molecule Discovery Partnership</t>
  </si>
  <si>
    <t xml:space="preserve">competitive_r12</t>
  </si>
  <si>
    <t xml:space="preserve">DTC/Indie Brand Acquisition Arms Race Intensifies</t>
  </si>
  <si>
    <t xml:space="preserve">competitive_r13</t>
  </si>
  <si>
    <t xml:space="preserve">Walmart / Costco / Aldi Vertical Integration into FMCG Supply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</si>
</sst>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00"/>
    <numFmt numFmtId="167" formatCode="0.0%"/>
    <numFmt numFmtId="168" formatCode="0.000"/>
    <numFmt numFmtId="169" formatCode="\+0.000;\-0.000;0.000"/>
    <numFmt numFmtId="170" formatCode="\+0.00;\-0.00;0.00"/>
    <numFmt numFmtId="171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95</v>
      </c>
    </row>
    <row r="6" customFormat="false" ht="15" hidden="false" customHeight="false" outlineLevel="0" collapsed="false">
      <c r="A6" s="4" t="s">
        <v>4</v>
      </c>
      <c r="B6" s="5" t="n">
        <v>4465</v>
      </c>
    </row>
    <row r="7" customFormat="false" ht="15" hidden="false" customHeight="false" outlineLevel="0" collapsed="false">
      <c r="A7" s="4" t="s">
        <v>5</v>
      </c>
      <c r="B7" s="6" t="n">
        <v>0.459241</v>
      </c>
    </row>
    <row r="8" customFormat="false" ht="15" hidden="false" customHeight="false" outlineLevel="0" collapsed="false">
      <c r="A8" s="4" t="s">
        <v>6</v>
      </c>
      <c r="B8" s="6" t="n">
        <v>0.4492</v>
      </c>
    </row>
    <row r="9" customFormat="false" ht="15" hidden="false" customHeight="false" outlineLevel="0" collapsed="false">
      <c r="A9" s="4" t="s">
        <v>7</v>
      </c>
      <c r="B9" s="7" t="s">
        <v>8</v>
      </c>
    </row>
    <row r="10" customFormat="false" ht="15" hidden="false" customHeight="false" outlineLevel="0" collapsed="false">
      <c r="A10" s="4" t="s">
        <v>9</v>
      </c>
      <c r="B10" s="7" t="s">
        <v>10</v>
      </c>
    </row>
    <row r="11" customFormat="false" ht="15" hidden="false" customHeight="false" outlineLevel="0" collapsed="false">
      <c r="A11" s="4" t="s">
        <v>11</v>
      </c>
      <c r="B11" s="7" t="s">
        <v>12</v>
      </c>
    </row>
    <row r="14" customFormat="false" ht="15" hidden="false" customHeight="false" outlineLevel="0" collapsed="false">
      <c r="A14" s="3" t="s">
        <v>13</v>
      </c>
    </row>
    <row r="15" customFormat="false" ht="15" hidden="false" customHeight="false" outlineLevel="0" collapsed="false">
      <c r="A15" s="8" t="s">
        <v>14</v>
      </c>
      <c r="B15" s="8" t="s">
        <v>15</v>
      </c>
      <c r="C15" s="8" t="s">
        <v>16</v>
      </c>
    </row>
    <row r="16" customFormat="false" ht="15" hidden="false" customHeight="false" outlineLevel="0" collapsed="false">
      <c r="A16" s="9" t="s">
        <v>17</v>
      </c>
      <c r="B16" s="10" t="n">
        <v>31</v>
      </c>
      <c r="C16" s="11" t="n">
        <f aca="false">B16/B$22</f>
        <v>0.326315789473684</v>
      </c>
    </row>
    <row r="17" customFormat="false" ht="15" hidden="false" customHeight="false" outlineLevel="0" collapsed="false">
      <c r="A17" s="9" t="s">
        <v>18</v>
      </c>
      <c r="B17" s="10" t="n">
        <v>10</v>
      </c>
      <c r="C17" s="11" t="n">
        <f aca="false">B17/B$22</f>
        <v>0.105263157894737</v>
      </c>
    </row>
    <row r="18" customFormat="false" ht="15" hidden="false" customHeight="false" outlineLevel="0" collapsed="false">
      <c r="A18" s="9" t="s">
        <v>19</v>
      </c>
      <c r="B18" s="10" t="n">
        <v>17</v>
      </c>
      <c r="C18" s="11" t="n">
        <f aca="false">B18/B$22</f>
        <v>0.178947368421053</v>
      </c>
    </row>
    <row r="19" customFormat="false" ht="15" hidden="false" customHeight="false" outlineLevel="0" collapsed="false">
      <c r="A19" s="9" t="s">
        <v>20</v>
      </c>
      <c r="B19" s="10" t="n">
        <v>13</v>
      </c>
      <c r="C19" s="11" t="n">
        <f aca="false">B19/B$22</f>
        <v>0.136842105263158</v>
      </c>
    </row>
    <row r="20" customFormat="false" ht="15" hidden="false" customHeight="false" outlineLevel="0" collapsed="false">
      <c r="A20" s="9" t="s">
        <v>21</v>
      </c>
      <c r="B20" s="10" t="n">
        <v>11</v>
      </c>
      <c r="C20" s="11" t="n">
        <f aca="false">B20/B$22</f>
        <v>0.115789473684211</v>
      </c>
    </row>
    <row r="21" customFormat="false" ht="15" hidden="false" customHeight="false" outlineLevel="0" collapsed="false">
      <c r="A21" s="9" t="s">
        <v>22</v>
      </c>
      <c r="B21" s="10" t="n">
        <v>13</v>
      </c>
      <c r="C21" s="11" t="n">
        <f aca="false">B21/B$22</f>
        <v>0.136842105263158</v>
      </c>
    </row>
    <row r="22" customFormat="false" ht="15" hidden="false" customHeight="false" outlineLevel="0" collapsed="false">
      <c r="A22" s="12" t="s">
        <v>23</v>
      </c>
      <c r="B22" s="13" t="n">
        <f aca="false">SUM(B16:B21)</f>
        <v>95</v>
      </c>
      <c r="C22" s="14" t="n">
        <f aca="false">SUM(C16:C21)</f>
        <v>1</v>
      </c>
    </row>
    <row r="25" customFormat="false" ht="15" hidden="false" customHeight="false" outlineLevel="0" collapsed="false">
      <c r="A25" s="3" t="s">
        <v>24</v>
      </c>
    </row>
    <row r="26" customFormat="false" ht="15" hidden="false" customHeight="false" outlineLevel="0" collapsed="false">
      <c r="A26" s="8" t="s">
        <v>14</v>
      </c>
      <c r="B26" s="8" t="s">
        <v>25</v>
      </c>
      <c r="C26" s="8" t="s">
        <v>26</v>
      </c>
      <c r="D26" s="8" t="s">
        <v>27</v>
      </c>
      <c r="E26" s="8" t="s">
        <v>28</v>
      </c>
    </row>
    <row r="27" customFormat="false" ht="15" hidden="false" customHeight="false" outlineLevel="0" collapsed="false">
      <c r="A27" s="9" t="s">
        <v>17</v>
      </c>
      <c r="B27" s="15" t="n">
        <v>0.1</v>
      </c>
      <c r="C27" s="15" t="n">
        <v>0.1</v>
      </c>
      <c r="D27" s="16" t="n">
        <f aca="false">B27-C27</f>
        <v>0</v>
      </c>
      <c r="E27" s="17" t="str">
        <f aca="false">IF(D27&gt;0,"↑ higher",IF(D27&lt;0,"↓ lower","flat"))</f>
        <v>flat</v>
      </c>
    </row>
    <row r="28" customFormat="false" ht="15" hidden="false" customHeight="false" outlineLevel="0" collapsed="false">
      <c r="A28" s="9" t="s">
        <v>18</v>
      </c>
      <c r="B28" s="15" t="n">
        <v>0.233</v>
      </c>
      <c r="C28" s="15" t="n">
        <v>0.157</v>
      </c>
      <c r="D28" s="16" t="n">
        <f aca="false">B28-C28</f>
        <v>0.076</v>
      </c>
      <c r="E28" s="17" t="str">
        <f aca="false">IF(D28&gt;0,"↑ higher",IF(D28&lt;0,"↓ lower","flat"))</f>
        <v>↑ higher</v>
      </c>
    </row>
    <row r="29" customFormat="false" ht="15" hidden="false" customHeight="false" outlineLevel="0" collapsed="false">
      <c r="A29" s="9" t="s">
        <v>19</v>
      </c>
      <c r="B29" s="15" t="n">
        <v>0.204</v>
      </c>
      <c r="C29" s="15" t="n">
        <v>0.232</v>
      </c>
      <c r="D29" s="16" t="n">
        <f aca="false">B29-C29</f>
        <v>-0.028</v>
      </c>
      <c r="E29" s="17" t="str">
        <f aca="false">IF(D29&gt;0,"↑ higher",IF(D29&lt;0,"↓ lower","flat"))</f>
        <v>↓ lower</v>
      </c>
    </row>
    <row r="30" customFormat="false" ht="15" hidden="false" customHeight="false" outlineLevel="0" collapsed="false">
      <c r="A30" s="9" t="s">
        <v>20</v>
      </c>
      <c r="B30" s="15" t="n">
        <v>0.415</v>
      </c>
      <c r="C30" s="15" t="n">
        <v>0.426</v>
      </c>
      <c r="D30" s="16" t="n">
        <f aca="false">B30-C30</f>
        <v>-0.011</v>
      </c>
      <c r="E30" s="17" t="str">
        <f aca="false">IF(D30&gt;0,"↑ higher",IF(D30&lt;0,"↓ lower","flat"))</f>
        <v>↓ lower</v>
      </c>
    </row>
    <row r="31" customFormat="false" ht="15" hidden="false" customHeight="false" outlineLevel="0" collapsed="false">
      <c r="A31" s="9" t="s">
        <v>21</v>
      </c>
      <c r="B31" s="15" t="n">
        <v>0.305</v>
      </c>
      <c r="C31" s="15" t="n">
        <v>0.269</v>
      </c>
      <c r="D31" s="16" t="n">
        <f aca="false">B31-C31</f>
        <v>0.036</v>
      </c>
      <c r="E31" s="17" t="str">
        <f aca="false">IF(D31&gt;0,"↑ higher",IF(D31&lt;0,"↓ lower","flat"))</f>
        <v>↑ higher</v>
      </c>
    </row>
    <row r="32" customFormat="false" ht="15" hidden="false" customHeight="false" outlineLevel="0" collapsed="false">
      <c r="A32" s="9" t="s">
        <v>22</v>
      </c>
      <c r="B32" s="15" t="n">
        <v>0.1</v>
      </c>
      <c r="C32" s="15" t="n">
        <v>0.1</v>
      </c>
      <c r="D32" s="16" t="n">
        <f aca="false">B32-C32</f>
        <v>0</v>
      </c>
      <c r="E32" s="17" t="str">
        <f aca="false">IF(D32&gt;0,"↑ higher",IF(D32&lt;0,"↓ lower","flat"))</f>
        <v>flat</v>
      </c>
    </row>
    <row r="35" customFormat="false" ht="15" hidden="false" customHeight="false" outlineLevel="0" collapsed="false">
      <c r="A35" s="3" t="s">
        <v>29</v>
      </c>
    </row>
    <row r="36" customFormat="false" ht="15" hidden="false" customHeight="false" outlineLevel="0" collapsed="false">
      <c r="A36" s="8" t="s">
        <v>14</v>
      </c>
      <c r="B36" s="8" t="s">
        <v>30</v>
      </c>
      <c r="C36" s="8" t="s">
        <v>31</v>
      </c>
      <c r="D36" s="8" t="s">
        <v>32</v>
      </c>
      <c r="E36" s="8" t="s">
        <v>27</v>
      </c>
    </row>
    <row r="37" customFormat="false" ht="15" hidden="false" customHeight="false" outlineLevel="0" collapsed="false">
      <c r="A37" s="9" t="s">
        <v>17</v>
      </c>
      <c r="B37" s="18" t="n">
        <v>0.01</v>
      </c>
      <c r="C37" s="19" t="n">
        <f aca="false">0.5*(1-B37)</f>
        <v>0.495</v>
      </c>
      <c r="D37" s="15" t="n">
        <v>0.482</v>
      </c>
      <c r="E37" s="16" t="n">
        <f aca="false">C37-D37</f>
        <v>0.013</v>
      </c>
    </row>
    <row r="38" customFormat="false" ht="15" hidden="false" customHeight="false" outlineLevel="0" collapsed="false">
      <c r="A38" s="9" t="s">
        <v>18</v>
      </c>
      <c r="B38" s="18" t="n">
        <v>0.195</v>
      </c>
      <c r="C38" s="19" t="n">
        <f aca="false">0.5*(1-B38)</f>
        <v>0.4025</v>
      </c>
      <c r="D38" s="15" t="n">
        <v>0.418</v>
      </c>
      <c r="E38" s="16" t="n">
        <f aca="false">C38-D38</f>
        <v>-0.0155</v>
      </c>
    </row>
    <row r="39" customFormat="false" ht="15" hidden="false" customHeight="false" outlineLevel="0" collapsed="false">
      <c r="A39" s="9" t="s">
        <v>19</v>
      </c>
      <c r="B39" s="18" t="n">
        <v>0.1366</v>
      </c>
      <c r="C39" s="19" t="n">
        <f aca="false">0.5*(1-B39)</f>
        <v>0.4317</v>
      </c>
      <c r="D39" s="15" t="n">
        <v>0.435</v>
      </c>
      <c r="E39" s="16" t="n">
        <f aca="false">C39-D39</f>
        <v>-0.00330000000000003</v>
      </c>
    </row>
    <row r="40" customFormat="false" ht="15" hidden="false" customHeight="false" outlineLevel="0" collapsed="false">
      <c r="A40" s="9" t="s">
        <v>20</v>
      </c>
      <c r="B40" s="18" t="n">
        <v>0.2056</v>
      </c>
      <c r="C40" s="19" t="n">
        <f aca="false">0.5*(1-B40)</f>
        <v>0.3972</v>
      </c>
      <c r="D40" s="15" t="n">
        <v>0.403</v>
      </c>
      <c r="E40" s="16" t="n">
        <f aca="false">C40-D40</f>
        <v>-0.00580000000000003</v>
      </c>
    </row>
    <row r="41" customFormat="false" ht="15" hidden="false" customHeight="false" outlineLevel="0" collapsed="false">
      <c r="A41" s="9" t="s">
        <v>21</v>
      </c>
      <c r="B41" s="18" t="n">
        <v>0.1678</v>
      </c>
      <c r="C41" s="19" t="n">
        <f aca="false">0.5*(1-B41)</f>
        <v>0.4161</v>
      </c>
      <c r="D41" s="15" t="n">
        <v>0.413</v>
      </c>
      <c r="E41" s="16" t="n">
        <f aca="false">C41-D41</f>
        <v>0.00310000000000005</v>
      </c>
    </row>
    <row r="42" customFormat="false" ht="15" hidden="false" customHeight="false" outlineLevel="0" collapsed="false">
      <c r="A42" s="9" t="s">
        <v>22</v>
      </c>
      <c r="B42" s="18" t="n">
        <v>0.0426</v>
      </c>
      <c r="C42" s="19" t="n">
        <f aca="false">0.5*(1-B42)</f>
        <v>0.4787</v>
      </c>
      <c r="D42" s="15" t="n">
        <v>0.486</v>
      </c>
      <c r="E42" s="16" t="n">
        <f aca="false">C42-D42</f>
        <v>-0.00729999999999997</v>
      </c>
    </row>
    <row r="44" customFormat="false" ht="52.2" hidden="false" customHeight="false" outlineLevel="0" collapsed="false">
      <c r="A44" s="3" t="s">
        <v>33</v>
      </c>
      <c r="B44" s="20" t="n">
        <f aca="false">SUMPRODUCT(B16:B21,C37:C42)/B22</f>
        <v>0.449186315789474</v>
      </c>
      <c r="D44" s="21" t="s">
        <v>34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7" min="6" style="0" width="16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35</v>
      </c>
      <c r="B1" s="1"/>
      <c r="C1" s="1"/>
      <c r="D1" s="1"/>
      <c r="E1" s="1"/>
      <c r="F1" s="1"/>
      <c r="G1" s="1"/>
      <c r="H1" s="1"/>
    </row>
    <row r="3" customFormat="false" ht="30" hidden="false" customHeight="true" outlineLevel="0" collapsed="false">
      <c r="A3" s="22" t="s">
        <v>36</v>
      </c>
      <c r="B3" s="22"/>
      <c r="C3" s="22"/>
      <c r="D3" s="22"/>
      <c r="E3" s="22"/>
      <c r="F3" s="22"/>
      <c r="G3" s="22"/>
      <c r="H3" s="22"/>
    </row>
    <row r="5" customFormat="false" ht="15" hidden="false" customHeight="false" outlineLevel="0" collapsed="false">
      <c r="A5" s="8" t="s">
        <v>14</v>
      </c>
      <c r="B5" s="8" t="s">
        <v>37</v>
      </c>
      <c r="C5" s="8" t="s">
        <v>38</v>
      </c>
      <c r="D5" s="8" t="s">
        <v>39</v>
      </c>
      <c r="E5" s="8" t="s">
        <v>40</v>
      </c>
      <c r="F5" s="8" t="s">
        <v>41</v>
      </c>
      <c r="G5" s="8" t="s">
        <v>42</v>
      </c>
      <c r="H5" s="8" t="s">
        <v>43</v>
      </c>
    </row>
    <row r="6" customFormat="false" ht="48" hidden="false" customHeight="true" outlineLevel="0" collapsed="false">
      <c r="A6" s="23" t="s">
        <v>17</v>
      </c>
      <c r="B6" s="10" t="n">
        <v>31</v>
      </c>
      <c r="C6" s="18" t="n">
        <v>0.332071</v>
      </c>
      <c r="D6" s="18" t="n">
        <v>0</v>
      </c>
      <c r="E6" s="24" t="n">
        <v>-0.03</v>
      </c>
      <c r="F6" s="19" t="n">
        <f aca="false">D6+E6</f>
        <v>-0.03</v>
      </c>
      <c r="G6" s="25" t="n">
        <f aca="false">MAX(0.1, MIN(0.45, F6))</f>
        <v>0.1</v>
      </c>
      <c r="H6" s="26" t="s">
        <v>44</v>
      </c>
    </row>
    <row r="7" customFormat="false" ht="48" hidden="false" customHeight="true" outlineLevel="0" collapsed="false">
      <c r="A7" s="23" t="s">
        <v>18</v>
      </c>
      <c r="B7" s="10" t="n">
        <v>10</v>
      </c>
      <c r="C7" s="18" t="n">
        <v>0.585238</v>
      </c>
      <c r="D7" s="18" t="n">
        <v>0.233</v>
      </c>
      <c r="E7" s="24" t="n">
        <v>0</v>
      </c>
      <c r="F7" s="19" t="n">
        <f aca="false">D7+E7</f>
        <v>0.233</v>
      </c>
      <c r="G7" s="25" t="n">
        <f aca="false">MAX(0.1, MIN(0.45, F7))</f>
        <v>0.233</v>
      </c>
      <c r="H7" s="26" t="s">
        <v>45</v>
      </c>
    </row>
    <row r="8" customFormat="false" ht="48" hidden="false" customHeight="true" outlineLevel="0" collapsed="false">
      <c r="A8" s="23" t="s">
        <v>19</v>
      </c>
      <c r="B8" s="10" t="n">
        <v>17</v>
      </c>
      <c r="C8" s="18" t="n">
        <v>0.542788</v>
      </c>
      <c r="D8" s="18" t="n">
        <v>0.1545</v>
      </c>
      <c r="E8" s="24" t="n">
        <v>0.05</v>
      </c>
      <c r="F8" s="19" t="n">
        <f aca="false">D8+E8</f>
        <v>0.2045</v>
      </c>
      <c r="G8" s="25" t="n">
        <f aca="false">MAX(0.1, MIN(0.45, F8))</f>
        <v>0.2045</v>
      </c>
      <c r="H8" s="26" t="s">
        <v>46</v>
      </c>
    </row>
    <row r="9" customFormat="false" ht="48" hidden="false" customHeight="true" outlineLevel="0" collapsed="false">
      <c r="A9" s="23" t="s">
        <v>20</v>
      </c>
      <c r="B9" s="10" t="n">
        <v>13</v>
      </c>
      <c r="C9" s="18" t="n">
        <v>0.656453</v>
      </c>
      <c r="D9" s="18" t="n">
        <v>0.364695</v>
      </c>
      <c r="E9" s="24" t="n">
        <v>0.05</v>
      </c>
      <c r="F9" s="19" t="n">
        <f aca="false">D9+E9</f>
        <v>0.414695</v>
      </c>
      <c r="G9" s="25" t="n">
        <f aca="false">MAX(0.1, MIN(0.45, F9))</f>
        <v>0.414695</v>
      </c>
      <c r="H9" s="26" t="s">
        <v>47</v>
      </c>
    </row>
    <row r="10" customFormat="false" ht="48" hidden="false" customHeight="true" outlineLevel="0" collapsed="false">
      <c r="A10" s="23" t="s">
        <v>21</v>
      </c>
      <c r="B10" s="10" t="n">
        <v>11</v>
      </c>
      <c r="C10" s="18" t="n">
        <v>0.59731</v>
      </c>
      <c r="D10" s="18" t="n">
        <v>0.255324</v>
      </c>
      <c r="E10" s="24" t="n">
        <v>0.05</v>
      </c>
      <c r="F10" s="19" t="n">
        <f aca="false">D10+E10</f>
        <v>0.305324</v>
      </c>
      <c r="G10" s="25" t="n">
        <f aca="false">MAX(0.1, MIN(0.45, F10))</f>
        <v>0.305324</v>
      </c>
      <c r="H10" s="26" t="s">
        <v>48</v>
      </c>
    </row>
    <row r="11" customFormat="false" ht="48" hidden="false" customHeight="true" outlineLevel="0" collapsed="false">
      <c r="A11" s="23" t="s">
        <v>22</v>
      </c>
      <c r="B11" s="10" t="n">
        <v>13</v>
      </c>
      <c r="C11" s="18" t="n">
        <v>0.461236</v>
      </c>
      <c r="D11" s="18" t="n">
        <v>0.003689</v>
      </c>
      <c r="E11" s="24" t="n">
        <v>-0.05</v>
      </c>
      <c r="F11" s="19" t="n">
        <f aca="false">D11+E11</f>
        <v>-0.046311</v>
      </c>
      <c r="G11" s="25" t="n">
        <f aca="false">MAX(0.1, MIN(0.45, F11))</f>
        <v>0.1</v>
      </c>
      <c r="H11" s="26" t="s">
        <v>49</v>
      </c>
    </row>
    <row r="14" customFormat="false" ht="15" hidden="false" customHeight="false" outlineLevel="0" collapsed="false">
      <c r="A14" s="3" t="s">
        <v>50</v>
      </c>
    </row>
    <row r="15" customFormat="false" ht="18" hidden="false" customHeight="true" outlineLevel="0" collapsed="false">
      <c r="A15" s="4" t="s">
        <v>51</v>
      </c>
      <c r="B15" s="22" t="s">
        <v>52</v>
      </c>
      <c r="C15" s="22"/>
      <c r="D15" s="22"/>
      <c r="E15" s="22"/>
      <c r="F15" s="22"/>
      <c r="G15" s="22"/>
      <c r="H15" s="22"/>
    </row>
    <row r="16" customFormat="false" ht="18" hidden="false" customHeight="true" outlineLevel="0" collapsed="false">
      <c r="A16" s="4" t="s">
        <v>51</v>
      </c>
      <c r="B16" s="22" t="s">
        <v>53</v>
      </c>
      <c r="C16" s="22"/>
      <c r="D16" s="22"/>
      <c r="E16" s="22"/>
      <c r="F16" s="22"/>
      <c r="G16" s="22"/>
      <c r="H16" s="22"/>
    </row>
    <row r="17" customFormat="false" ht="18" hidden="false" customHeight="true" outlineLevel="0" collapsed="false">
      <c r="A17" s="4" t="s">
        <v>51</v>
      </c>
      <c r="B17" s="22" t="s">
        <v>54</v>
      </c>
      <c r="C17" s="22"/>
      <c r="D17" s="22"/>
      <c r="E17" s="22"/>
      <c r="F17" s="22"/>
      <c r="G17" s="22"/>
      <c r="H17" s="22"/>
    </row>
    <row r="18" customFormat="false" ht="18" hidden="false" customHeight="true" outlineLevel="0" collapsed="false">
      <c r="A18" s="4" t="s">
        <v>51</v>
      </c>
      <c r="B18" s="22" t="s">
        <v>55</v>
      </c>
      <c r="C18" s="22"/>
      <c r="D18" s="22"/>
      <c r="E18" s="22"/>
      <c r="F18" s="22"/>
      <c r="G18" s="22"/>
      <c r="H18" s="22"/>
    </row>
  </sheetData>
  <mergeCells count="6">
    <mergeCell ref="A1:H1"/>
    <mergeCell ref="A3:H3"/>
    <mergeCell ref="B15:H15"/>
    <mergeCell ref="B16:H16"/>
    <mergeCell ref="B17:H17"/>
    <mergeCell ref="B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4"/>
    <col collapsed="false" customWidth="true" hidden="false" outlineLevel="0" max="5" min="4" style="0" width="10"/>
    <col collapsed="false" customWidth="true" hidden="false" outlineLevel="0" max="6" min="6" style="0" width="28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55"/>
  </cols>
  <sheetData>
    <row r="1" customFormat="false" ht="17.35" hidden="false" customHeight="false" outlineLevel="0" collapsed="false">
      <c r="A1" s="1" t="s">
        <v>56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7" t="s">
        <v>57</v>
      </c>
    </row>
    <row r="4" customFormat="false" ht="15" hidden="false" customHeight="false" outlineLevel="0" collapsed="false">
      <c r="A4" s="8" t="s">
        <v>58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</row>
    <row r="5" customFormat="false" ht="15" hidden="false" customHeight="false" outlineLevel="0" collapsed="false">
      <c r="A5" s="8" t="s">
        <v>17</v>
      </c>
      <c r="B5" s="28" t="s">
        <v>59</v>
      </c>
      <c r="C5" s="15" t="n">
        <v>0</v>
      </c>
      <c r="D5" s="15" t="n">
        <v>0</v>
      </c>
      <c r="E5" s="15" t="n">
        <v>0</v>
      </c>
      <c r="F5" s="15" t="n">
        <v>0</v>
      </c>
      <c r="G5" s="15" t="n">
        <v>0.05</v>
      </c>
    </row>
    <row r="6" customFormat="false" ht="15" hidden="false" customHeight="false" outlineLevel="0" collapsed="false">
      <c r="A6" s="8" t="s">
        <v>18</v>
      </c>
      <c r="B6" s="15" t="n">
        <v>0</v>
      </c>
      <c r="C6" s="28" t="s">
        <v>59</v>
      </c>
      <c r="D6" s="15" t="n">
        <v>0.308</v>
      </c>
      <c r="E6" s="15" t="n">
        <v>0.373</v>
      </c>
      <c r="F6" s="15" t="n">
        <v>0.192</v>
      </c>
      <c r="G6" s="15" t="n">
        <v>0.102</v>
      </c>
    </row>
    <row r="7" customFormat="false" ht="15" hidden="false" customHeight="false" outlineLevel="0" collapsed="false">
      <c r="A7" s="8" t="s">
        <v>19</v>
      </c>
      <c r="B7" s="15" t="n">
        <v>0</v>
      </c>
      <c r="C7" s="15" t="n">
        <v>0.202</v>
      </c>
      <c r="D7" s="28" t="s">
        <v>59</v>
      </c>
      <c r="E7" s="15" t="n">
        <v>0.267</v>
      </c>
      <c r="F7" s="15" t="n">
        <v>0.186</v>
      </c>
      <c r="G7" s="15" t="n">
        <v>0.028</v>
      </c>
    </row>
    <row r="8" customFormat="false" ht="15" hidden="false" customHeight="false" outlineLevel="0" collapsed="false">
      <c r="A8" s="8" t="s">
        <v>20</v>
      </c>
      <c r="B8" s="15" t="n">
        <v>0</v>
      </c>
      <c r="C8" s="15" t="n">
        <v>0.299</v>
      </c>
      <c r="D8" s="15" t="n">
        <v>0.333</v>
      </c>
      <c r="E8" s="28" t="s">
        <v>59</v>
      </c>
      <c r="F8" s="15" t="n">
        <v>0.348</v>
      </c>
      <c r="G8" s="15" t="n">
        <v>0.048</v>
      </c>
    </row>
    <row r="9" customFormat="false" ht="15" hidden="false" customHeight="false" outlineLevel="0" collapsed="false">
      <c r="A9" s="8" t="s">
        <v>21</v>
      </c>
      <c r="B9" s="15" t="n">
        <v>0</v>
      </c>
      <c r="C9" s="15" t="n">
        <v>0.175</v>
      </c>
      <c r="D9" s="15" t="n">
        <v>0.261</v>
      </c>
      <c r="E9" s="15" t="n">
        <v>0.403</v>
      </c>
      <c r="F9" s="28" t="s">
        <v>59</v>
      </c>
      <c r="G9" s="15" t="n">
        <v>0</v>
      </c>
    </row>
    <row r="10" customFormat="false" ht="15" hidden="false" customHeight="false" outlineLevel="0" collapsed="false">
      <c r="A10" s="8" t="s">
        <v>22</v>
      </c>
      <c r="B10" s="15" t="n">
        <v>0.05</v>
      </c>
      <c r="C10" s="15" t="n">
        <v>0.078</v>
      </c>
      <c r="D10" s="15" t="n">
        <v>0.037</v>
      </c>
      <c r="E10" s="15" t="n">
        <v>0.048</v>
      </c>
      <c r="F10" s="15" t="n">
        <v>0</v>
      </c>
      <c r="G10" s="28" t="s">
        <v>59</v>
      </c>
    </row>
    <row r="13" customFormat="false" ht="15" hidden="false" customHeight="false" outlineLevel="0" collapsed="false">
      <c r="A13" s="3" t="s">
        <v>60</v>
      </c>
    </row>
    <row r="14" customFormat="false" ht="15" hidden="false" customHeight="false" outlineLevel="0" collapsed="false">
      <c r="A14" s="8" t="s">
        <v>61</v>
      </c>
      <c r="B14" s="8" t="s">
        <v>62</v>
      </c>
      <c r="C14" s="8" t="s">
        <v>63</v>
      </c>
      <c r="D14" s="8" t="s">
        <v>64</v>
      </c>
      <c r="E14" s="8" t="s">
        <v>65</v>
      </c>
      <c r="F14" s="8" t="s">
        <v>66</v>
      </c>
      <c r="G14" s="8" t="s">
        <v>40</v>
      </c>
      <c r="H14" s="8" t="s">
        <v>67</v>
      </c>
      <c r="I14" s="8" t="s">
        <v>68</v>
      </c>
    </row>
    <row r="15" customFormat="false" ht="36" hidden="false" customHeight="true" outlineLevel="0" collapsed="false">
      <c r="A15" s="17" t="n">
        <v>1</v>
      </c>
      <c r="B15" s="9" t="s">
        <v>21</v>
      </c>
      <c r="C15" s="9" t="s">
        <v>20</v>
      </c>
      <c r="D15" s="18" t="n">
        <v>0.634712</v>
      </c>
      <c r="E15" s="18" t="n">
        <v>0.32449</v>
      </c>
      <c r="F15" s="18" t="n">
        <v>0.352758</v>
      </c>
      <c r="G15" s="24" t="n">
        <v>0.05</v>
      </c>
      <c r="H15" s="25" t="n">
        <f aca="false">MAX(0, MIN(0.45, F15+G15))</f>
        <v>0.402758</v>
      </c>
      <c r="I15" s="26" t="s">
        <v>69</v>
      </c>
    </row>
    <row r="16" customFormat="false" ht="36" hidden="false" customHeight="true" outlineLevel="0" collapsed="false">
      <c r="A16" s="17" t="n">
        <v>2</v>
      </c>
      <c r="B16" s="9" t="s">
        <v>18</v>
      </c>
      <c r="C16" s="9" t="s">
        <v>20</v>
      </c>
      <c r="D16" s="18" t="n">
        <v>0.61256</v>
      </c>
      <c r="E16" s="18" t="n">
        <v>0.283525</v>
      </c>
      <c r="F16" s="18" t="n">
        <v>0.323268</v>
      </c>
      <c r="G16" s="24" t="n">
        <v>0.05</v>
      </c>
      <c r="H16" s="25" t="n">
        <f aca="false">MAX(0, MIN(0.45, F16+G16))</f>
        <v>0.373268</v>
      </c>
      <c r="I16" s="26" t="s">
        <v>70</v>
      </c>
    </row>
    <row r="17" customFormat="false" ht="36" hidden="false" customHeight="true" outlineLevel="0" collapsed="false">
      <c r="A17" s="17" t="n">
        <v>3</v>
      </c>
      <c r="B17" s="9" t="s">
        <v>20</v>
      </c>
      <c r="C17" s="9" t="s">
        <v>21</v>
      </c>
      <c r="D17" s="18" t="n">
        <v>0.634712</v>
      </c>
      <c r="E17" s="18" t="n">
        <v>0.32449</v>
      </c>
      <c r="F17" s="18" t="n">
        <v>0.298488</v>
      </c>
      <c r="G17" s="24" t="n">
        <v>0.05</v>
      </c>
      <c r="H17" s="25" t="n">
        <f aca="false">MAX(0, MIN(0.45, F17+G17))</f>
        <v>0.348488</v>
      </c>
      <c r="I17" s="26" t="s">
        <v>71</v>
      </c>
    </row>
    <row r="18" customFormat="false" ht="36" hidden="false" customHeight="true" outlineLevel="0" collapsed="false">
      <c r="A18" s="17" t="n">
        <v>4</v>
      </c>
      <c r="B18" s="9" t="s">
        <v>20</v>
      </c>
      <c r="C18" s="9" t="s">
        <v>19</v>
      </c>
      <c r="D18" s="18" t="n">
        <v>0.593258</v>
      </c>
      <c r="E18" s="18" t="n">
        <v>0.247831</v>
      </c>
      <c r="F18" s="18" t="n">
        <v>0.283405</v>
      </c>
      <c r="G18" s="24" t="n">
        <v>0.05</v>
      </c>
      <c r="H18" s="25" t="n">
        <f aca="false">MAX(0, MIN(0.45, F18+G18))</f>
        <v>0.333405</v>
      </c>
      <c r="I18" s="26" t="s">
        <v>72</v>
      </c>
    </row>
    <row r="19" customFormat="false" ht="36" hidden="false" customHeight="true" outlineLevel="0" collapsed="false">
      <c r="A19" s="17" t="n">
        <v>5</v>
      </c>
      <c r="B19" s="9" t="s">
        <v>18</v>
      </c>
      <c r="C19" s="9" t="s">
        <v>19</v>
      </c>
      <c r="D19" s="18" t="n">
        <v>0.56615</v>
      </c>
      <c r="E19" s="18" t="n">
        <v>0.197701</v>
      </c>
      <c r="F19" s="18" t="n">
        <v>0.257771</v>
      </c>
      <c r="G19" s="24" t="n">
        <v>0.05</v>
      </c>
      <c r="H19" s="25" t="n">
        <f aca="false">MAX(0, MIN(0.45, F19+G19))</f>
        <v>0.307771</v>
      </c>
      <c r="I19" s="26" t="s">
        <v>73</v>
      </c>
    </row>
    <row r="20" customFormat="false" ht="36" hidden="false" customHeight="true" outlineLevel="0" collapsed="false">
      <c r="A20" s="17" t="n">
        <v>6</v>
      </c>
      <c r="B20" s="9" t="s">
        <v>20</v>
      </c>
      <c r="C20" s="9" t="s">
        <v>18</v>
      </c>
      <c r="D20" s="18" t="n">
        <v>0.61256</v>
      </c>
      <c r="E20" s="18" t="n">
        <v>0.283525</v>
      </c>
      <c r="F20" s="18" t="n">
        <v>0.248668</v>
      </c>
      <c r="G20" s="24" t="n">
        <v>0.05</v>
      </c>
      <c r="H20" s="25" t="n">
        <f aca="false">MAX(0, MIN(0.45, F20+G20))</f>
        <v>0.298668</v>
      </c>
      <c r="I20" s="26" t="s">
        <v>74</v>
      </c>
    </row>
    <row r="21" customFormat="false" ht="36" hidden="false" customHeight="true" outlineLevel="0" collapsed="false">
      <c r="A21" s="17" t="n">
        <v>7</v>
      </c>
      <c r="B21" s="9" t="s">
        <v>19</v>
      </c>
      <c r="C21" s="9" t="s">
        <v>20</v>
      </c>
      <c r="D21" s="18" t="n">
        <v>0.593258</v>
      </c>
      <c r="E21" s="18" t="n">
        <v>0.247831</v>
      </c>
      <c r="F21" s="18" t="n">
        <v>0.216722</v>
      </c>
      <c r="G21" s="24" t="n">
        <v>0.05</v>
      </c>
      <c r="H21" s="25" t="n">
        <f aca="false">MAX(0, MIN(0.45, F21+G21))</f>
        <v>0.266722</v>
      </c>
      <c r="I21" s="26" t="s">
        <v>75</v>
      </c>
    </row>
    <row r="22" customFormat="false" ht="36" hidden="false" customHeight="true" outlineLevel="0" collapsed="false">
      <c r="A22" s="17" t="n">
        <v>8</v>
      </c>
      <c r="B22" s="9" t="s">
        <v>21</v>
      </c>
      <c r="C22" s="9" t="s">
        <v>19</v>
      </c>
      <c r="D22" s="18" t="n">
        <v>0.55097</v>
      </c>
      <c r="E22" s="18" t="n">
        <v>0.16963</v>
      </c>
      <c r="F22" s="18" t="n">
        <v>0.210878</v>
      </c>
      <c r="G22" s="24" t="n">
        <v>0.05</v>
      </c>
      <c r="H22" s="25" t="n">
        <f aca="false">MAX(0, MIN(0.45, F22+G22))</f>
        <v>0.260878</v>
      </c>
      <c r="I22" s="26" t="s">
        <v>76</v>
      </c>
    </row>
    <row r="23" customFormat="false" ht="36" hidden="false" customHeight="true" outlineLevel="0" collapsed="false">
      <c r="A23" s="17" t="n">
        <v>9</v>
      </c>
      <c r="B23" s="9" t="s">
        <v>19</v>
      </c>
      <c r="C23" s="9" t="s">
        <v>18</v>
      </c>
      <c r="D23" s="18" t="n">
        <v>0.56615</v>
      </c>
      <c r="E23" s="18" t="n">
        <v>0.197701</v>
      </c>
      <c r="F23" s="18" t="n">
        <v>0.15163</v>
      </c>
      <c r="G23" s="24" t="n">
        <v>0.05</v>
      </c>
      <c r="H23" s="25" t="n">
        <f aca="false">MAX(0, MIN(0.45, F23+G23))</f>
        <v>0.20163</v>
      </c>
      <c r="I23" s="26" t="s">
        <v>77</v>
      </c>
    </row>
    <row r="24" customFormat="false" ht="36" hidden="false" customHeight="true" outlineLevel="0" collapsed="false">
      <c r="A24" s="17" t="n">
        <v>10</v>
      </c>
      <c r="B24" s="9" t="s">
        <v>18</v>
      </c>
      <c r="C24" s="9" t="s">
        <v>21</v>
      </c>
      <c r="D24" s="18" t="n">
        <v>0.5584</v>
      </c>
      <c r="E24" s="18" t="n">
        <v>0.183371</v>
      </c>
      <c r="F24" s="18" t="n">
        <v>0.192321</v>
      </c>
      <c r="G24" s="24" t="n">
        <v>0</v>
      </c>
      <c r="H24" s="25" t="n">
        <f aca="false">MAX(0, MIN(0.45, F24+G24))</f>
        <v>0.192321</v>
      </c>
      <c r="I24" s="26" t="s">
        <v>78</v>
      </c>
    </row>
    <row r="25" customFormat="false" ht="36" hidden="false" customHeight="true" outlineLevel="0" collapsed="false">
      <c r="A25" s="17" t="n">
        <v>11</v>
      </c>
      <c r="B25" s="9" t="s">
        <v>19</v>
      </c>
      <c r="C25" s="9" t="s">
        <v>21</v>
      </c>
      <c r="D25" s="18" t="n">
        <v>0.55097</v>
      </c>
      <c r="E25" s="18" t="n">
        <v>0.16963</v>
      </c>
      <c r="F25" s="18" t="n">
        <v>0.13645</v>
      </c>
      <c r="G25" s="24" t="n">
        <v>0.05</v>
      </c>
      <c r="H25" s="25" t="n">
        <f aca="false">MAX(0, MIN(0.45, F25+G25))</f>
        <v>0.18645</v>
      </c>
      <c r="I25" s="26" t="s">
        <v>79</v>
      </c>
    </row>
    <row r="26" customFormat="false" ht="36" hidden="false" customHeight="true" outlineLevel="0" collapsed="false">
      <c r="A26" s="17" t="n">
        <v>12</v>
      </c>
      <c r="B26" s="9" t="s">
        <v>21</v>
      </c>
      <c r="C26" s="9" t="s">
        <v>18</v>
      </c>
      <c r="D26" s="18" t="n">
        <v>0.5584</v>
      </c>
      <c r="E26" s="18" t="n">
        <v>0.183371</v>
      </c>
      <c r="F26" s="18" t="n">
        <v>0.174837</v>
      </c>
      <c r="G26" s="24" t="n">
        <v>0</v>
      </c>
      <c r="H26" s="25" t="n">
        <f aca="false">MAX(0, MIN(0.45, F26+G26))</f>
        <v>0.174837</v>
      </c>
      <c r="I26" s="26" t="s">
        <v>80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5" min="4" style="0" width="10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81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82</v>
      </c>
    </row>
    <row r="4" customFormat="false" ht="19.5" hidden="false" customHeight="true" outlineLevel="0" collapsed="false">
      <c r="A4" s="3" t="s">
        <v>83</v>
      </c>
      <c r="B4" s="2" t="s">
        <v>84</v>
      </c>
      <c r="C4" s="2"/>
      <c r="D4" s="2"/>
      <c r="E4" s="2"/>
      <c r="F4" s="2"/>
    </row>
    <row r="5" customFormat="false" ht="19.5" hidden="false" customHeight="true" outlineLevel="0" collapsed="false">
      <c r="A5" s="3" t="s">
        <v>85</v>
      </c>
      <c r="B5" s="2" t="s">
        <v>86</v>
      </c>
      <c r="C5" s="2"/>
      <c r="D5" s="2"/>
      <c r="E5" s="2"/>
      <c r="F5" s="2"/>
    </row>
    <row r="6" customFormat="false" ht="19.5" hidden="false" customHeight="true" outlineLevel="0" collapsed="false">
      <c r="A6" s="3" t="s">
        <v>87</v>
      </c>
      <c r="B6" s="2" t="s">
        <v>88</v>
      </c>
      <c r="C6" s="2"/>
      <c r="D6" s="2"/>
      <c r="E6" s="2"/>
      <c r="F6" s="2"/>
    </row>
    <row r="7" customFormat="false" ht="19.5" hidden="false" customHeight="true" outlineLevel="0" collapsed="false">
      <c r="A7" s="3" t="s">
        <v>89</v>
      </c>
      <c r="B7" s="2" t="s">
        <v>90</v>
      </c>
      <c r="C7" s="2"/>
      <c r="D7" s="2"/>
      <c r="E7" s="2"/>
      <c r="F7" s="2"/>
    </row>
    <row r="8" customFormat="false" ht="19.5" hidden="false" customHeight="true" outlineLevel="0" collapsed="false">
      <c r="A8" s="3" t="s">
        <v>91</v>
      </c>
      <c r="B8" s="2" t="s">
        <v>92</v>
      </c>
      <c r="C8" s="2"/>
      <c r="D8" s="2"/>
      <c r="E8" s="2"/>
      <c r="F8" s="2"/>
    </row>
    <row r="9" customFormat="false" ht="19.5" hidden="false" customHeight="true" outlineLevel="0" collapsed="false">
      <c r="A9" s="3" t="s">
        <v>93</v>
      </c>
      <c r="B9" s="2" t="s">
        <v>94</v>
      </c>
      <c r="C9" s="2"/>
      <c r="D9" s="2"/>
      <c r="E9" s="2"/>
      <c r="F9" s="2"/>
    </row>
    <row r="10" customFormat="false" ht="19.5" hidden="false" customHeight="true" outlineLevel="0" collapsed="false">
      <c r="A10" s="3" t="s">
        <v>95</v>
      </c>
      <c r="B10" s="2" t="s">
        <v>96</v>
      </c>
      <c r="C10" s="2"/>
      <c r="D10" s="2"/>
      <c r="E10" s="2"/>
      <c r="F10" s="2"/>
    </row>
    <row r="13" customFormat="false" ht="15" hidden="false" customHeight="false" outlineLevel="0" collapsed="false">
      <c r="A13" s="3" t="s">
        <v>97</v>
      </c>
    </row>
    <row r="14" customFormat="false" ht="15" hidden="false" customHeight="false" outlineLevel="0" collapsed="false">
      <c r="A14" s="3" t="s">
        <v>98</v>
      </c>
      <c r="B14" s="2" t="s">
        <v>99</v>
      </c>
      <c r="C14" s="2"/>
      <c r="D14" s="2"/>
      <c r="E14" s="2"/>
      <c r="F14" s="2"/>
    </row>
    <row r="15" customFormat="false" ht="15" hidden="false" customHeight="false" outlineLevel="0" collapsed="false">
      <c r="A15" s="3" t="s">
        <v>100</v>
      </c>
      <c r="B15" s="2" t="s">
        <v>101</v>
      </c>
      <c r="C15" s="2"/>
      <c r="D15" s="2"/>
      <c r="E15" s="2"/>
      <c r="F15" s="2"/>
    </row>
    <row r="17" customFormat="false" ht="15" hidden="false" customHeight="false" outlineLevel="0" collapsed="false">
      <c r="A17" s="8" t="s">
        <v>102</v>
      </c>
      <c r="B17" s="8" t="s">
        <v>103</v>
      </c>
      <c r="C17" s="8" t="s">
        <v>104</v>
      </c>
      <c r="D17" s="8" t="s">
        <v>105</v>
      </c>
      <c r="E17" s="8" t="s">
        <v>106</v>
      </c>
    </row>
    <row r="18" customFormat="false" ht="15" hidden="false" customHeight="false" outlineLevel="0" collapsed="false">
      <c r="A18" s="9" t="s">
        <v>107</v>
      </c>
      <c r="B18" s="29" t="n">
        <v>3</v>
      </c>
      <c r="C18" s="29" t="n">
        <v>2</v>
      </c>
      <c r="D18" s="30" t="n">
        <f aca="false">MIN(B18,C18)</f>
        <v>2</v>
      </c>
      <c r="E18" s="30" t="n">
        <f aca="false">MAX(B18,C18)</f>
        <v>3</v>
      </c>
    </row>
    <row r="19" customFormat="false" ht="15" hidden="false" customHeight="false" outlineLevel="0" collapsed="false">
      <c r="A19" s="9" t="s">
        <v>108</v>
      </c>
      <c r="B19" s="29" t="n">
        <v>3</v>
      </c>
      <c r="C19" s="29" t="n">
        <v>2</v>
      </c>
      <c r="D19" s="30" t="n">
        <f aca="false">MIN(B19,C19)</f>
        <v>2</v>
      </c>
      <c r="E19" s="30" t="n">
        <f aca="false">MAX(B19,C19)</f>
        <v>3</v>
      </c>
    </row>
    <row r="20" customFormat="false" ht="15" hidden="false" customHeight="false" outlineLevel="0" collapsed="false">
      <c r="A20" s="9" t="s">
        <v>109</v>
      </c>
      <c r="B20" s="29" t="n">
        <v>2</v>
      </c>
      <c r="C20" s="29" t="n">
        <v>3</v>
      </c>
      <c r="D20" s="30" t="n">
        <f aca="false">MIN(B20,C20)</f>
        <v>2</v>
      </c>
      <c r="E20" s="30" t="n">
        <f aca="false">MAX(B20,C20)</f>
        <v>3</v>
      </c>
    </row>
    <row r="21" customFormat="false" ht="15" hidden="false" customHeight="false" outlineLevel="0" collapsed="false">
      <c r="A21" s="9" t="s">
        <v>110</v>
      </c>
      <c r="B21" s="29" t="n">
        <v>3</v>
      </c>
      <c r="C21" s="29" t="n">
        <v>2</v>
      </c>
      <c r="D21" s="30" t="n">
        <f aca="false">MIN(B21,C21)</f>
        <v>2</v>
      </c>
      <c r="E21" s="30" t="n">
        <f aca="false">MAX(B21,C21)</f>
        <v>3</v>
      </c>
    </row>
    <row r="22" customFormat="false" ht="15" hidden="false" customHeight="false" outlineLevel="0" collapsed="false">
      <c r="A22" s="9" t="s">
        <v>111</v>
      </c>
      <c r="B22" s="29" t="n">
        <v>5</v>
      </c>
      <c r="C22" s="29" t="n">
        <v>4</v>
      </c>
      <c r="D22" s="30" t="n">
        <f aca="false">MIN(B22,C22)</f>
        <v>4</v>
      </c>
      <c r="E22" s="30" t="n">
        <f aca="false">MAX(B22,C22)</f>
        <v>5</v>
      </c>
    </row>
    <row r="23" customFormat="false" ht="15" hidden="false" customHeight="false" outlineLevel="0" collapsed="false">
      <c r="A23" s="9" t="s">
        <v>112</v>
      </c>
      <c r="B23" s="29" t="n">
        <v>5</v>
      </c>
      <c r="C23" s="29" t="n">
        <v>5</v>
      </c>
      <c r="D23" s="30" t="n">
        <f aca="false">MIN(B23,C23)</f>
        <v>5</v>
      </c>
      <c r="E23" s="30" t="n">
        <f aca="false">MAX(B23,C23)</f>
        <v>5</v>
      </c>
    </row>
    <row r="24" customFormat="false" ht="15" hidden="false" customHeight="false" outlineLevel="0" collapsed="false">
      <c r="A24" s="9" t="s">
        <v>113</v>
      </c>
      <c r="B24" s="29" t="n">
        <v>4</v>
      </c>
      <c r="C24" s="29" t="n">
        <v>3</v>
      </c>
      <c r="D24" s="30" t="n">
        <f aca="false">MIN(B24,C24)</f>
        <v>3</v>
      </c>
      <c r="E24" s="30" t="n">
        <f aca="false">MAX(B24,C24)</f>
        <v>4</v>
      </c>
    </row>
    <row r="25" customFormat="false" ht="15" hidden="false" customHeight="false" outlineLevel="0" collapsed="false">
      <c r="A25" s="9" t="s">
        <v>114</v>
      </c>
      <c r="B25" s="29" t="n">
        <v>5</v>
      </c>
      <c r="C25" s="29" t="n">
        <v>4</v>
      </c>
      <c r="D25" s="30" t="n">
        <f aca="false">MIN(B25,C25)</f>
        <v>4</v>
      </c>
      <c r="E25" s="30" t="n">
        <f aca="false">MAX(B25,C25)</f>
        <v>5</v>
      </c>
    </row>
    <row r="26" customFormat="false" ht="15" hidden="false" customHeight="false" outlineLevel="0" collapsed="false">
      <c r="A26" s="9" t="s">
        <v>115</v>
      </c>
      <c r="B26" s="29" t="n">
        <v>4</v>
      </c>
      <c r="C26" s="29" t="n">
        <v>3</v>
      </c>
      <c r="D26" s="30" t="n">
        <f aca="false">MIN(B26,C26)</f>
        <v>3</v>
      </c>
      <c r="E26" s="30" t="n">
        <f aca="false">MAX(B26,C26)</f>
        <v>4</v>
      </c>
    </row>
    <row r="27" customFormat="false" ht="15" hidden="false" customHeight="false" outlineLevel="0" collapsed="false">
      <c r="A27" s="9" t="s">
        <v>116</v>
      </c>
      <c r="B27" s="29" t="n">
        <v>4</v>
      </c>
      <c r="C27" s="29" t="n">
        <v>4</v>
      </c>
      <c r="D27" s="30" t="n">
        <f aca="false">MIN(B27,C27)</f>
        <v>4</v>
      </c>
      <c r="E27" s="30" t="n">
        <f aca="false">MAX(B27,C27)</f>
        <v>4</v>
      </c>
    </row>
    <row r="28" customFormat="false" ht="15" hidden="false" customHeight="false" outlineLevel="0" collapsed="false">
      <c r="A28" s="9" t="s">
        <v>117</v>
      </c>
      <c r="B28" s="29" t="n">
        <v>3</v>
      </c>
      <c r="C28" s="29" t="n">
        <v>4</v>
      </c>
      <c r="D28" s="30" t="n">
        <f aca="false">MIN(B28,C28)</f>
        <v>3</v>
      </c>
      <c r="E28" s="30" t="n">
        <f aca="false">MAX(B28,C28)</f>
        <v>4</v>
      </c>
    </row>
    <row r="29" customFormat="false" ht="15" hidden="false" customHeight="false" outlineLevel="0" collapsed="false">
      <c r="A29" s="9" t="s">
        <v>118</v>
      </c>
      <c r="B29" s="29" t="n">
        <v>4</v>
      </c>
      <c r="C29" s="29" t="n">
        <v>5</v>
      </c>
      <c r="D29" s="30" t="n">
        <f aca="false">MIN(B29,C29)</f>
        <v>4</v>
      </c>
      <c r="E29" s="30" t="n">
        <f aca="false">MAX(B29,C29)</f>
        <v>5</v>
      </c>
    </row>
    <row r="30" customFormat="false" ht="15" hidden="false" customHeight="false" outlineLevel="0" collapsed="false">
      <c r="A30" s="12" t="s">
        <v>119</v>
      </c>
      <c r="D30" s="31" t="n">
        <f aca="false">SUM(D18:D29)</f>
        <v>38</v>
      </c>
      <c r="E30" s="31" t="n">
        <f aca="false">SUM(E18:E29)</f>
        <v>48</v>
      </c>
    </row>
    <row r="32" customFormat="false" ht="15" hidden="false" customHeight="false" outlineLevel="0" collapsed="false">
      <c r="A32" s="3" t="s">
        <v>120</v>
      </c>
      <c r="B32" s="20" t="n">
        <f aca="false">D30/E30</f>
        <v>0.791666666666667</v>
      </c>
    </row>
    <row r="33" customFormat="false" ht="15" hidden="false" customHeight="false" outlineLevel="0" collapsed="false">
      <c r="A33" s="3" t="s">
        <v>121</v>
      </c>
      <c r="B33" s="32" t="n">
        <v>0.459241</v>
      </c>
    </row>
    <row r="34" customFormat="false" ht="15" hidden="false" customHeight="false" outlineLevel="0" collapsed="false">
      <c r="A34" s="3" t="s">
        <v>122</v>
      </c>
      <c r="B34" s="20" t="n">
        <f aca="false">MAX(0,(B32-B33)/(1-B33))</f>
        <v>0.614739036551711</v>
      </c>
    </row>
  </sheetData>
  <mergeCells count="10">
    <mergeCell ref="A1:F1"/>
    <mergeCell ref="B4:F4"/>
    <mergeCell ref="B5:F5"/>
    <mergeCell ref="B6:F6"/>
    <mergeCell ref="B7:F7"/>
    <mergeCell ref="B8:F8"/>
    <mergeCell ref="B9:F9"/>
    <mergeCell ref="B10:F10"/>
    <mergeCell ref="B14:F1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123</v>
      </c>
      <c r="B1" s="1"/>
      <c r="C1" s="1"/>
      <c r="D1" s="1"/>
    </row>
    <row r="3" customFormat="false" ht="15" hidden="false" customHeight="false" outlineLevel="0" collapsed="false">
      <c r="A3" s="2" t="s">
        <v>124</v>
      </c>
      <c r="B3" s="2"/>
      <c r="C3" s="2"/>
      <c r="D3" s="2"/>
    </row>
    <row r="5" customFormat="false" ht="15" hidden="false" customHeight="false" outlineLevel="0" collapsed="false">
      <c r="A5" s="3" t="s">
        <v>125</v>
      </c>
    </row>
    <row r="6" customFormat="false" ht="15" hidden="false" customHeight="false" outlineLevel="0" collapsed="false">
      <c r="A6" s="8" t="s">
        <v>14</v>
      </c>
      <c r="B6" s="8" t="s">
        <v>126</v>
      </c>
      <c r="C6" s="8" t="s">
        <v>127</v>
      </c>
      <c r="D6" s="8" t="s">
        <v>68</v>
      </c>
    </row>
    <row r="7" customFormat="false" ht="39.75" hidden="false" customHeight="true" outlineLevel="0" collapsed="false">
      <c r="A7" s="9" t="s">
        <v>17</v>
      </c>
      <c r="B7" s="24" t="n">
        <v>-0.03</v>
      </c>
      <c r="C7" s="17" t="s">
        <v>128</v>
      </c>
      <c r="D7" s="26" t="s">
        <v>44</v>
      </c>
    </row>
    <row r="8" customFormat="false" ht="39.75" hidden="false" customHeight="true" outlineLevel="0" collapsed="false">
      <c r="A8" s="9" t="s">
        <v>18</v>
      </c>
      <c r="B8" s="24" t="n">
        <v>0</v>
      </c>
      <c r="C8" s="17" t="s">
        <v>129</v>
      </c>
      <c r="D8" s="26" t="s">
        <v>45</v>
      </c>
    </row>
    <row r="9" customFormat="false" ht="39.75" hidden="false" customHeight="true" outlineLevel="0" collapsed="false">
      <c r="A9" s="9" t="s">
        <v>19</v>
      </c>
      <c r="B9" s="24" t="n">
        <v>0.05</v>
      </c>
      <c r="C9" s="17" t="s">
        <v>130</v>
      </c>
      <c r="D9" s="26" t="s">
        <v>46</v>
      </c>
    </row>
    <row r="10" customFormat="false" ht="39.75" hidden="false" customHeight="true" outlineLevel="0" collapsed="false">
      <c r="A10" s="9" t="s">
        <v>20</v>
      </c>
      <c r="B10" s="24" t="n">
        <v>0.05</v>
      </c>
      <c r="C10" s="17" t="s">
        <v>130</v>
      </c>
      <c r="D10" s="26" t="s">
        <v>47</v>
      </c>
    </row>
    <row r="11" customFormat="false" ht="39.75" hidden="false" customHeight="true" outlineLevel="0" collapsed="false">
      <c r="A11" s="9" t="s">
        <v>21</v>
      </c>
      <c r="B11" s="24" t="n">
        <v>0.05</v>
      </c>
      <c r="C11" s="17" t="s">
        <v>130</v>
      </c>
      <c r="D11" s="26" t="s">
        <v>48</v>
      </c>
    </row>
    <row r="12" customFormat="false" ht="39.75" hidden="false" customHeight="true" outlineLevel="0" collapsed="false">
      <c r="A12" s="9" t="s">
        <v>22</v>
      </c>
      <c r="B12" s="24" t="n">
        <v>-0.05</v>
      </c>
      <c r="C12" s="17" t="s">
        <v>128</v>
      </c>
      <c r="D12" s="26" t="s">
        <v>49</v>
      </c>
    </row>
    <row r="15" customFormat="false" ht="15" hidden="false" customHeight="false" outlineLevel="0" collapsed="false">
      <c r="A15" s="3" t="s">
        <v>131</v>
      </c>
    </row>
    <row r="16" customFormat="false" ht="15" hidden="false" customHeight="false" outlineLevel="0" collapsed="false">
      <c r="A16" s="8" t="s">
        <v>62</v>
      </c>
      <c r="B16" s="8" t="s">
        <v>63</v>
      </c>
      <c r="C16" s="8" t="s">
        <v>126</v>
      </c>
      <c r="D16" s="8" t="s">
        <v>68</v>
      </c>
    </row>
    <row r="17" customFormat="false" ht="31.5" hidden="false" customHeight="true" outlineLevel="0" collapsed="false">
      <c r="A17" s="9" t="s">
        <v>17</v>
      </c>
      <c r="B17" s="9" t="s">
        <v>22</v>
      </c>
      <c r="C17" s="24" t="n">
        <v>0.05</v>
      </c>
      <c r="D17" s="26" t="s">
        <v>59</v>
      </c>
    </row>
    <row r="18" customFormat="false" ht="31.5" hidden="false" customHeight="true" outlineLevel="0" collapsed="false">
      <c r="A18" s="9" t="s">
        <v>18</v>
      </c>
      <c r="B18" s="9" t="s">
        <v>19</v>
      </c>
      <c r="C18" s="24" t="n">
        <v>0.05</v>
      </c>
      <c r="D18" s="26" t="s">
        <v>73</v>
      </c>
    </row>
    <row r="19" customFormat="false" ht="31.5" hidden="false" customHeight="true" outlineLevel="0" collapsed="false">
      <c r="A19" s="9" t="s">
        <v>18</v>
      </c>
      <c r="B19" s="9" t="s">
        <v>20</v>
      </c>
      <c r="C19" s="24" t="n">
        <v>0.05</v>
      </c>
      <c r="D19" s="26" t="s">
        <v>70</v>
      </c>
    </row>
    <row r="20" customFormat="false" ht="31.5" hidden="false" customHeight="true" outlineLevel="0" collapsed="false">
      <c r="A20" s="9" t="s">
        <v>19</v>
      </c>
      <c r="B20" s="9" t="s">
        <v>18</v>
      </c>
      <c r="C20" s="24" t="n">
        <v>0.05</v>
      </c>
      <c r="D20" s="26" t="s">
        <v>77</v>
      </c>
    </row>
    <row r="21" customFormat="false" ht="31.5" hidden="false" customHeight="true" outlineLevel="0" collapsed="false">
      <c r="A21" s="9" t="s">
        <v>19</v>
      </c>
      <c r="B21" s="9" t="s">
        <v>20</v>
      </c>
      <c r="C21" s="24" t="n">
        <v>0.05</v>
      </c>
      <c r="D21" s="26" t="s">
        <v>75</v>
      </c>
    </row>
    <row r="22" customFormat="false" ht="31.5" hidden="false" customHeight="true" outlineLevel="0" collapsed="false">
      <c r="A22" s="9" t="s">
        <v>19</v>
      </c>
      <c r="B22" s="9" t="s">
        <v>21</v>
      </c>
      <c r="C22" s="24" t="n">
        <v>0.05</v>
      </c>
      <c r="D22" s="26" t="s">
        <v>79</v>
      </c>
    </row>
    <row r="23" customFormat="false" ht="31.5" hidden="false" customHeight="true" outlineLevel="0" collapsed="false">
      <c r="A23" s="9" t="s">
        <v>20</v>
      </c>
      <c r="B23" s="9" t="s">
        <v>18</v>
      </c>
      <c r="C23" s="24" t="n">
        <v>0.05</v>
      </c>
      <c r="D23" s="26" t="s">
        <v>74</v>
      </c>
    </row>
    <row r="24" customFormat="false" ht="31.5" hidden="false" customHeight="true" outlineLevel="0" collapsed="false">
      <c r="A24" s="9" t="s">
        <v>20</v>
      </c>
      <c r="B24" s="9" t="s">
        <v>19</v>
      </c>
      <c r="C24" s="24" t="n">
        <v>0.05</v>
      </c>
      <c r="D24" s="26" t="s">
        <v>72</v>
      </c>
    </row>
    <row r="25" customFormat="false" ht="31.5" hidden="false" customHeight="true" outlineLevel="0" collapsed="false">
      <c r="A25" s="9" t="s">
        <v>20</v>
      </c>
      <c r="B25" s="9" t="s">
        <v>21</v>
      </c>
      <c r="C25" s="24" t="n">
        <v>0.05</v>
      </c>
      <c r="D25" s="26" t="s">
        <v>71</v>
      </c>
    </row>
    <row r="26" customFormat="false" ht="31.5" hidden="false" customHeight="true" outlineLevel="0" collapsed="false">
      <c r="A26" s="9" t="s">
        <v>21</v>
      </c>
      <c r="B26" s="9" t="s">
        <v>19</v>
      </c>
      <c r="C26" s="24" t="n">
        <v>0.05</v>
      </c>
      <c r="D26" s="26" t="s">
        <v>76</v>
      </c>
    </row>
    <row r="27" customFormat="false" ht="31.5" hidden="false" customHeight="true" outlineLevel="0" collapsed="false">
      <c r="A27" s="9" t="s">
        <v>21</v>
      </c>
      <c r="B27" s="9" t="s">
        <v>20</v>
      </c>
      <c r="C27" s="24" t="n">
        <v>0.05</v>
      </c>
      <c r="D27" s="26" t="s">
        <v>69</v>
      </c>
    </row>
    <row r="28" customFormat="false" ht="31.5" hidden="false" customHeight="true" outlineLevel="0" collapsed="false">
      <c r="A28" s="9" t="s">
        <v>22</v>
      </c>
      <c r="B28" s="9" t="s">
        <v>17</v>
      </c>
      <c r="C28" s="24" t="n">
        <v>0.05</v>
      </c>
      <c r="D28" s="26" t="s">
        <v>59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16" min="5" style="0" width="10"/>
    <col collapsed="false" customWidth="true" hidden="false" outlineLevel="0" max="17" min="17" style="0" width="12"/>
  </cols>
  <sheetData>
    <row r="1" customFormat="false" ht="17.35" hidden="false" customHeight="false" outlineLevel="0" collapsed="false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false" outlineLevel="0" collapsed="false">
      <c r="A3" s="8" t="s">
        <v>133</v>
      </c>
      <c r="B3" s="8" t="s">
        <v>134</v>
      </c>
      <c r="C3" s="8" t="s">
        <v>14</v>
      </c>
      <c r="D3" s="8" t="s">
        <v>135</v>
      </c>
      <c r="E3" s="8" t="s">
        <v>107</v>
      </c>
      <c r="F3" s="8" t="s">
        <v>108</v>
      </c>
      <c r="G3" s="8" t="s">
        <v>109</v>
      </c>
      <c r="H3" s="8" t="s">
        <v>110</v>
      </c>
      <c r="I3" s="8" t="s">
        <v>111</v>
      </c>
      <c r="J3" s="8" t="s">
        <v>112</v>
      </c>
      <c r="K3" s="8" t="s">
        <v>113</v>
      </c>
      <c r="L3" s="8" t="s">
        <v>114</v>
      </c>
      <c r="M3" s="8" t="s">
        <v>115</v>
      </c>
      <c r="N3" s="8" t="s">
        <v>116</v>
      </c>
      <c r="O3" s="8" t="s">
        <v>117</v>
      </c>
      <c r="P3" s="8" t="s">
        <v>118</v>
      </c>
      <c r="Q3" s="8" t="s">
        <v>136</v>
      </c>
    </row>
    <row r="4" customFormat="false" ht="15" hidden="false" customHeight="false" outlineLevel="0" collapsed="false">
      <c r="A4" s="17" t="n">
        <v>1</v>
      </c>
      <c r="B4" s="9" t="s">
        <v>137</v>
      </c>
      <c r="C4" s="9" t="s">
        <v>17</v>
      </c>
      <c r="D4" s="26" t="s">
        <v>138</v>
      </c>
      <c r="E4" s="33" t="n">
        <v>3</v>
      </c>
      <c r="F4" s="33" t="n">
        <v>3</v>
      </c>
      <c r="G4" s="33" t="n">
        <v>2</v>
      </c>
      <c r="H4" s="33" t="n">
        <v>3</v>
      </c>
      <c r="I4" s="33" t="n">
        <v>5</v>
      </c>
      <c r="J4" s="33" t="n">
        <v>5</v>
      </c>
      <c r="K4" s="33" t="n">
        <v>4</v>
      </c>
      <c r="L4" s="33" t="n">
        <v>5</v>
      </c>
      <c r="M4" s="33" t="n">
        <v>4</v>
      </c>
      <c r="N4" s="33" t="n">
        <v>4</v>
      </c>
      <c r="O4" s="33" t="n">
        <v>3</v>
      </c>
      <c r="P4" s="33" t="n">
        <v>4</v>
      </c>
      <c r="Q4" s="34" t="n">
        <f aca="false">SUM(E4:P4)</f>
        <v>45</v>
      </c>
    </row>
    <row r="5" customFormat="false" ht="26.85" hidden="false" customHeight="false" outlineLevel="0" collapsed="false">
      <c r="A5" s="17" t="n">
        <v>2</v>
      </c>
      <c r="B5" s="9" t="s">
        <v>139</v>
      </c>
      <c r="C5" s="9" t="s">
        <v>17</v>
      </c>
      <c r="D5" s="26" t="s">
        <v>140</v>
      </c>
      <c r="E5" s="33" t="n">
        <v>2</v>
      </c>
      <c r="F5" s="33" t="n">
        <v>4</v>
      </c>
      <c r="G5" s="33" t="n">
        <v>2</v>
      </c>
      <c r="H5" s="33" t="n">
        <v>4</v>
      </c>
      <c r="I5" s="33" t="n">
        <v>1</v>
      </c>
      <c r="J5" s="33" t="n">
        <v>1</v>
      </c>
      <c r="K5" s="33" t="n">
        <v>0</v>
      </c>
      <c r="L5" s="33" t="n">
        <v>2</v>
      </c>
      <c r="M5" s="33" t="n">
        <v>0</v>
      </c>
      <c r="N5" s="33" t="n">
        <v>0</v>
      </c>
      <c r="O5" s="33" t="n">
        <v>0</v>
      </c>
      <c r="P5" s="33" t="n">
        <v>0</v>
      </c>
      <c r="Q5" s="34" t="n">
        <f aca="false">SUM(E5:P5)</f>
        <v>16</v>
      </c>
    </row>
    <row r="6" customFormat="false" ht="15" hidden="false" customHeight="false" outlineLevel="0" collapsed="false">
      <c r="A6" s="17" t="n">
        <v>3</v>
      </c>
      <c r="B6" s="9" t="s">
        <v>141</v>
      </c>
      <c r="C6" s="9" t="s">
        <v>17</v>
      </c>
      <c r="D6" s="26" t="s">
        <v>142</v>
      </c>
      <c r="E6" s="33" t="n">
        <v>4</v>
      </c>
      <c r="F6" s="33" t="n">
        <v>5</v>
      </c>
      <c r="G6" s="33" t="n">
        <v>4</v>
      </c>
      <c r="H6" s="33" t="n">
        <v>3</v>
      </c>
      <c r="I6" s="33" t="n">
        <v>0</v>
      </c>
      <c r="J6" s="33" t="n">
        <v>0</v>
      </c>
      <c r="K6" s="33" t="n">
        <v>0</v>
      </c>
      <c r="L6" s="33" t="n">
        <v>0</v>
      </c>
      <c r="M6" s="33" t="n">
        <v>0</v>
      </c>
      <c r="N6" s="33" t="n">
        <v>0</v>
      </c>
      <c r="O6" s="33" t="n">
        <v>0</v>
      </c>
      <c r="P6" s="33" t="n">
        <v>0</v>
      </c>
      <c r="Q6" s="34" t="n">
        <f aca="false">SUM(E6:P6)</f>
        <v>16</v>
      </c>
    </row>
    <row r="7" customFormat="false" ht="15" hidden="false" customHeight="false" outlineLevel="0" collapsed="false">
      <c r="A7" s="17" t="n">
        <v>4</v>
      </c>
      <c r="B7" s="9" t="s">
        <v>143</v>
      </c>
      <c r="C7" s="9" t="s">
        <v>17</v>
      </c>
      <c r="D7" s="26" t="s">
        <v>144</v>
      </c>
      <c r="E7" s="33" t="n">
        <v>3</v>
      </c>
      <c r="F7" s="33" t="n">
        <v>4</v>
      </c>
      <c r="G7" s="33" t="n">
        <v>2</v>
      </c>
      <c r="H7" s="33" t="n">
        <v>4</v>
      </c>
      <c r="I7" s="33" t="n">
        <v>3</v>
      </c>
      <c r="J7" s="33" t="n">
        <v>3</v>
      </c>
      <c r="K7" s="33" t="n">
        <v>2</v>
      </c>
      <c r="L7" s="33" t="n">
        <v>2</v>
      </c>
      <c r="M7" s="33" t="n">
        <v>2</v>
      </c>
      <c r="N7" s="33" t="n">
        <v>2</v>
      </c>
      <c r="O7" s="33" t="n">
        <v>1</v>
      </c>
      <c r="P7" s="33" t="n">
        <v>1</v>
      </c>
      <c r="Q7" s="34" t="n">
        <f aca="false">SUM(E7:P7)</f>
        <v>29</v>
      </c>
    </row>
    <row r="8" customFormat="false" ht="26.85" hidden="false" customHeight="false" outlineLevel="0" collapsed="false">
      <c r="A8" s="17" t="n">
        <v>5</v>
      </c>
      <c r="B8" s="9" t="s">
        <v>145</v>
      </c>
      <c r="C8" s="9" t="s">
        <v>17</v>
      </c>
      <c r="D8" s="26" t="s">
        <v>146</v>
      </c>
      <c r="E8" s="33" t="n">
        <v>5</v>
      </c>
      <c r="F8" s="33" t="n">
        <v>3</v>
      </c>
      <c r="G8" s="33" t="n">
        <v>1</v>
      </c>
      <c r="H8" s="33" t="n">
        <v>2</v>
      </c>
      <c r="I8" s="33" t="n">
        <v>2</v>
      </c>
      <c r="J8" s="33" t="n">
        <v>2</v>
      </c>
      <c r="K8" s="33" t="n">
        <v>1</v>
      </c>
      <c r="L8" s="33" t="n">
        <v>2</v>
      </c>
      <c r="M8" s="33" t="n">
        <v>2</v>
      </c>
      <c r="N8" s="33" t="n">
        <v>1</v>
      </c>
      <c r="O8" s="33" t="n">
        <v>1</v>
      </c>
      <c r="P8" s="33" t="n">
        <v>1</v>
      </c>
      <c r="Q8" s="34" t="n">
        <f aca="false">SUM(E8:P8)</f>
        <v>23</v>
      </c>
    </row>
    <row r="9" customFormat="false" ht="26.85" hidden="false" customHeight="false" outlineLevel="0" collapsed="false">
      <c r="A9" s="17" t="n">
        <v>6</v>
      </c>
      <c r="B9" s="9" t="s">
        <v>147</v>
      </c>
      <c r="C9" s="9" t="s">
        <v>17</v>
      </c>
      <c r="D9" s="26" t="s">
        <v>148</v>
      </c>
      <c r="E9" s="33" t="n">
        <v>3</v>
      </c>
      <c r="F9" s="33" t="n">
        <v>3</v>
      </c>
      <c r="G9" s="33" t="n">
        <v>3</v>
      </c>
      <c r="H9" s="33" t="n">
        <v>3</v>
      </c>
      <c r="I9" s="33" t="n">
        <v>4</v>
      </c>
      <c r="J9" s="33" t="n">
        <v>4</v>
      </c>
      <c r="K9" s="33" t="n">
        <v>3</v>
      </c>
      <c r="L9" s="33" t="n">
        <v>5</v>
      </c>
      <c r="M9" s="33" t="n">
        <v>3</v>
      </c>
      <c r="N9" s="33" t="n">
        <v>3</v>
      </c>
      <c r="O9" s="33" t="n">
        <v>2</v>
      </c>
      <c r="P9" s="33" t="n">
        <v>2</v>
      </c>
      <c r="Q9" s="34" t="n">
        <f aca="false">SUM(E9:P9)</f>
        <v>38</v>
      </c>
    </row>
    <row r="10" customFormat="false" ht="15" hidden="false" customHeight="false" outlineLevel="0" collapsed="false">
      <c r="A10" s="17" t="n">
        <v>7</v>
      </c>
      <c r="B10" s="9" t="s">
        <v>149</v>
      </c>
      <c r="C10" s="9" t="s">
        <v>17</v>
      </c>
      <c r="D10" s="26" t="s">
        <v>150</v>
      </c>
      <c r="E10" s="33" t="n">
        <v>2</v>
      </c>
      <c r="F10" s="33" t="n">
        <v>5</v>
      </c>
      <c r="G10" s="33" t="n">
        <v>1</v>
      </c>
      <c r="H10" s="33" t="n">
        <v>2</v>
      </c>
      <c r="I10" s="33" t="n">
        <v>0</v>
      </c>
      <c r="J10" s="33" t="n">
        <v>0</v>
      </c>
      <c r="K10" s="33" t="n">
        <v>0</v>
      </c>
      <c r="L10" s="33" t="n">
        <v>0</v>
      </c>
      <c r="M10" s="33" t="n">
        <v>0</v>
      </c>
      <c r="N10" s="33" t="n">
        <v>0</v>
      </c>
      <c r="O10" s="33" t="n">
        <v>0</v>
      </c>
      <c r="P10" s="33" t="n">
        <v>0</v>
      </c>
      <c r="Q10" s="34" t="n">
        <f aca="false">SUM(E10:P10)</f>
        <v>10</v>
      </c>
    </row>
    <row r="11" customFormat="false" ht="15" hidden="false" customHeight="false" outlineLevel="0" collapsed="false">
      <c r="A11" s="17" t="n">
        <v>8</v>
      </c>
      <c r="B11" s="9" t="s">
        <v>151</v>
      </c>
      <c r="C11" s="9" t="s">
        <v>17</v>
      </c>
      <c r="D11" s="26" t="s">
        <v>152</v>
      </c>
      <c r="E11" s="33" t="n">
        <v>2</v>
      </c>
      <c r="F11" s="33" t="n">
        <v>3</v>
      </c>
      <c r="G11" s="33" t="n">
        <v>4</v>
      </c>
      <c r="H11" s="33" t="n">
        <v>4</v>
      </c>
      <c r="I11" s="33" t="n">
        <v>0</v>
      </c>
      <c r="J11" s="33" t="n">
        <v>0</v>
      </c>
      <c r="K11" s="33" t="n">
        <v>0</v>
      </c>
      <c r="L11" s="33" t="n">
        <v>0</v>
      </c>
      <c r="M11" s="33" t="n">
        <v>0</v>
      </c>
      <c r="N11" s="33" t="n">
        <v>0</v>
      </c>
      <c r="O11" s="33" t="n">
        <v>0</v>
      </c>
      <c r="P11" s="33" t="n">
        <v>0</v>
      </c>
      <c r="Q11" s="34" t="n">
        <f aca="false">SUM(E11:P11)</f>
        <v>13</v>
      </c>
    </row>
    <row r="12" customFormat="false" ht="26.85" hidden="false" customHeight="false" outlineLevel="0" collapsed="false">
      <c r="A12" s="17" t="n">
        <v>9</v>
      </c>
      <c r="B12" s="9" t="s">
        <v>153</v>
      </c>
      <c r="C12" s="9" t="s">
        <v>17</v>
      </c>
      <c r="D12" s="26" t="s">
        <v>154</v>
      </c>
      <c r="E12" s="33" t="n">
        <v>0</v>
      </c>
      <c r="F12" s="33" t="n">
        <v>0</v>
      </c>
      <c r="G12" s="33" t="n">
        <v>0</v>
      </c>
      <c r="H12" s="33" t="n">
        <v>1</v>
      </c>
      <c r="I12" s="33" t="n">
        <v>4</v>
      </c>
      <c r="J12" s="33" t="n">
        <v>2</v>
      </c>
      <c r="K12" s="33" t="n">
        <v>4</v>
      </c>
      <c r="L12" s="33" t="n">
        <v>4</v>
      </c>
      <c r="M12" s="33" t="n">
        <v>1</v>
      </c>
      <c r="N12" s="33" t="n">
        <v>2</v>
      </c>
      <c r="O12" s="33" t="n">
        <v>3</v>
      </c>
      <c r="P12" s="33" t="n">
        <v>1</v>
      </c>
      <c r="Q12" s="34" t="n">
        <f aca="false">SUM(E12:P12)</f>
        <v>22</v>
      </c>
    </row>
    <row r="13" customFormat="false" ht="26.85" hidden="false" customHeight="false" outlineLevel="0" collapsed="false">
      <c r="A13" s="17" t="n">
        <v>10</v>
      </c>
      <c r="B13" s="9" t="s">
        <v>155</v>
      </c>
      <c r="C13" s="9" t="s">
        <v>17</v>
      </c>
      <c r="D13" s="26" t="s">
        <v>156</v>
      </c>
      <c r="E13" s="33" t="n">
        <v>1</v>
      </c>
      <c r="F13" s="33" t="n">
        <v>5</v>
      </c>
      <c r="G13" s="33" t="n">
        <v>1</v>
      </c>
      <c r="H13" s="33" t="n">
        <v>1</v>
      </c>
      <c r="I13" s="33" t="n">
        <v>0</v>
      </c>
      <c r="J13" s="33" t="n">
        <v>0</v>
      </c>
      <c r="K13" s="33" t="n">
        <v>0</v>
      </c>
      <c r="L13" s="33" t="n">
        <v>0</v>
      </c>
      <c r="M13" s="33" t="n">
        <v>0</v>
      </c>
      <c r="N13" s="33" t="n">
        <v>0</v>
      </c>
      <c r="O13" s="33" t="n">
        <v>0</v>
      </c>
      <c r="P13" s="33" t="n">
        <v>0</v>
      </c>
      <c r="Q13" s="34" t="n">
        <f aca="false">SUM(E13:P13)</f>
        <v>8</v>
      </c>
    </row>
    <row r="14" customFormat="false" ht="15" hidden="false" customHeight="false" outlineLevel="0" collapsed="false">
      <c r="A14" s="17" t="n">
        <v>11</v>
      </c>
      <c r="B14" s="9" t="s">
        <v>157</v>
      </c>
      <c r="C14" s="9" t="s">
        <v>17</v>
      </c>
      <c r="D14" s="26" t="s">
        <v>158</v>
      </c>
      <c r="E14" s="33" t="n">
        <v>3</v>
      </c>
      <c r="F14" s="33" t="n">
        <v>4</v>
      </c>
      <c r="G14" s="33" t="n">
        <v>4</v>
      </c>
      <c r="H14" s="33" t="n">
        <v>3</v>
      </c>
      <c r="I14" s="33" t="n">
        <v>2</v>
      </c>
      <c r="J14" s="33" t="n">
        <v>2</v>
      </c>
      <c r="K14" s="33" t="n">
        <v>0</v>
      </c>
      <c r="L14" s="33" t="n">
        <v>2</v>
      </c>
      <c r="M14" s="33" t="n">
        <v>1</v>
      </c>
      <c r="N14" s="33" t="n">
        <v>1</v>
      </c>
      <c r="O14" s="33" t="n">
        <v>1</v>
      </c>
      <c r="P14" s="33" t="n">
        <v>0</v>
      </c>
      <c r="Q14" s="34" t="n">
        <f aca="false">SUM(E14:P14)</f>
        <v>23</v>
      </c>
    </row>
    <row r="15" customFormat="false" ht="15" hidden="false" customHeight="false" outlineLevel="0" collapsed="false">
      <c r="A15" s="17" t="n">
        <v>12</v>
      </c>
      <c r="B15" s="9" t="s">
        <v>159</v>
      </c>
      <c r="C15" s="9" t="s">
        <v>17</v>
      </c>
      <c r="D15" s="26" t="s">
        <v>160</v>
      </c>
      <c r="E15" s="33" t="n">
        <v>0</v>
      </c>
      <c r="F15" s="33" t="n">
        <v>1</v>
      </c>
      <c r="G15" s="33" t="n">
        <v>0</v>
      </c>
      <c r="H15" s="33" t="n">
        <v>1</v>
      </c>
      <c r="I15" s="33" t="n">
        <v>4</v>
      </c>
      <c r="J15" s="33" t="n">
        <v>2</v>
      </c>
      <c r="K15" s="33" t="n">
        <v>0</v>
      </c>
      <c r="L15" s="33" t="n">
        <v>5</v>
      </c>
      <c r="M15" s="33" t="n">
        <v>5</v>
      </c>
      <c r="N15" s="33" t="n">
        <v>3</v>
      </c>
      <c r="O15" s="33" t="n">
        <v>2</v>
      </c>
      <c r="P15" s="33" t="n">
        <v>1</v>
      </c>
      <c r="Q15" s="34" t="n">
        <f aca="false">SUM(E15:P15)</f>
        <v>24</v>
      </c>
    </row>
    <row r="16" customFormat="false" ht="26.85" hidden="false" customHeight="false" outlineLevel="0" collapsed="false">
      <c r="A16" s="17" t="n">
        <v>13</v>
      </c>
      <c r="B16" s="9" t="s">
        <v>161</v>
      </c>
      <c r="C16" s="9" t="s">
        <v>17</v>
      </c>
      <c r="D16" s="26" t="s">
        <v>162</v>
      </c>
      <c r="E16" s="33" t="n">
        <v>0</v>
      </c>
      <c r="F16" s="33" t="n">
        <v>0</v>
      </c>
      <c r="G16" s="33" t="n">
        <v>0</v>
      </c>
      <c r="H16" s="33" t="n">
        <v>0</v>
      </c>
      <c r="I16" s="33" t="n">
        <v>4</v>
      </c>
      <c r="J16" s="33" t="n">
        <v>5</v>
      </c>
      <c r="K16" s="33" t="n">
        <v>0</v>
      </c>
      <c r="L16" s="33" t="n">
        <v>3</v>
      </c>
      <c r="M16" s="33" t="n">
        <v>0</v>
      </c>
      <c r="N16" s="33" t="n">
        <v>0</v>
      </c>
      <c r="O16" s="33" t="n">
        <v>0</v>
      </c>
      <c r="P16" s="33" t="n">
        <v>0</v>
      </c>
      <c r="Q16" s="34" t="n">
        <f aca="false">SUM(E16:P16)</f>
        <v>12</v>
      </c>
    </row>
    <row r="17" customFormat="false" ht="15" hidden="false" customHeight="false" outlineLevel="0" collapsed="false">
      <c r="A17" s="17" t="n">
        <v>14</v>
      </c>
      <c r="B17" s="9" t="s">
        <v>163</v>
      </c>
      <c r="C17" s="9" t="s">
        <v>17</v>
      </c>
      <c r="D17" s="26" t="s">
        <v>164</v>
      </c>
      <c r="E17" s="33" t="n">
        <v>0</v>
      </c>
      <c r="F17" s="33" t="n">
        <v>2</v>
      </c>
      <c r="G17" s="33" t="n">
        <v>5</v>
      </c>
      <c r="H17" s="33" t="n">
        <v>1</v>
      </c>
      <c r="I17" s="33" t="n">
        <v>0</v>
      </c>
      <c r="J17" s="33" t="n">
        <v>0</v>
      </c>
      <c r="K17" s="33" t="n">
        <v>0</v>
      </c>
      <c r="L17" s="33" t="n">
        <v>0</v>
      </c>
      <c r="M17" s="33" t="n">
        <v>0</v>
      </c>
      <c r="N17" s="33" t="n">
        <v>0</v>
      </c>
      <c r="O17" s="33" t="n">
        <v>0</v>
      </c>
      <c r="P17" s="33" t="n">
        <v>0</v>
      </c>
      <c r="Q17" s="34" t="n">
        <f aca="false">SUM(E17:P17)</f>
        <v>8</v>
      </c>
    </row>
    <row r="18" customFormat="false" ht="26.85" hidden="false" customHeight="false" outlineLevel="0" collapsed="false">
      <c r="A18" s="17" t="n">
        <v>15</v>
      </c>
      <c r="B18" s="9" t="s">
        <v>165</v>
      </c>
      <c r="C18" s="9" t="s">
        <v>17</v>
      </c>
      <c r="D18" s="26" t="s">
        <v>166</v>
      </c>
      <c r="E18" s="33" t="n">
        <v>4</v>
      </c>
      <c r="F18" s="33" t="n">
        <v>5</v>
      </c>
      <c r="G18" s="33" t="n">
        <v>3</v>
      </c>
      <c r="H18" s="33" t="n">
        <v>3</v>
      </c>
      <c r="I18" s="33" t="n">
        <v>1</v>
      </c>
      <c r="J18" s="33" t="n">
        <v>1</v>
      </c>
      <c r="K18" s="33" t="n">
        <v>0</v>
      </c>
      <c r="L18" s="33" t="n">
        <v>1</v>
      </c>
      <c r="M18" s="33" t="n">
        <v>0</v>
      </c>
      <c r="N18" s="33" t="n">
        <v>0</v>
      </c>
      <c r="O18" s="33" t="n">
        <v>0</v>
      </c>
      <c r="P18" s="33" t="n">
        <v>0</v>
      </c>
      <c r="Q18" s="34" t="n">
        <f aca="false">SUM(E18:P18)</f>
        <v>18</v>
      </c>
    </row>
    <row r="19" customFormat="false" ht="26.85" hidden="false" customHeight="false" outlineLevel="0" collapsed="false">
      <c r="A19" s="17" t="n">
        <v>16</v>
      </c>
      <c r="B19" s="9" t="s">
        <v>167</v>
      </c>
      <c r="C19" s="9" t="s">
        <v>17</v>
      </c>
      <c r="D19" s="26" t="s">
        <v>168</v>
      </c>
      <c r="E19" s="33" t="n">
        <v>4</v>
      </c>
      <c r="F19" s="33" t="n">
        <v>5</v>
      </c>
      <c r="G19" s="33" t="n">
        <v>3</v>
      </c>
      <c r="H19" s="33" t="n">
        <v>4</v>
      </c>
      <c r="I19" s="33" t="n">
        <v>4</v>
      </c>
      <c r="J19" s="33" t="n">
        <v>4</v>
      </c>
      <c r="K19" s="33" t="n">
        <v>3</v>
      </c>
      <c r="L19" s="33" t="n">
        <v>4</v>
      </c>
      <c r="M19" s="33" t="n">
        <v>2</v>
      </c>
      <c r="N19" s="33" t="n">
        <v>2</v>
      </c>
      <c r="O19" s="33" t="n">
        <v>2</v>
      </c>
      <c r="P19" s="33" t="n">
        <v>3</v>
      </c>
      <c r="Q19" s="34" t="n">
        <f aca="false">SUM(E19:P19)</f>
        <v>40</v>
      </c>
    </row>
    <row r="20" customFormat="false" ht="26.85" hidden="false" customHeight="false" outlineLevel="0" collapsed="false">
      <c r="A20" s="17" t="n">
        <v>17</v>
      </c>
      <c r="B20" s="9" t="s">
        <v>169</v>
      </c>
      <c r="C20" s="9" t="s">
        <v>17</v>
      </c>
      <c r="D20" s="26" t="s">
        <v>170</v>
      </c>
      <c r="E20" s="33" t="n">
        <v>4</v>
      </c>
      <c r="F20" s="33" t="n">
        <v>5</v>
      </c>
      <c r="G20" s="33" t="n">
        <v>4</v>
      </c>
      <c r="H20" s="33" t="n">
        <v>3</v>
      </c>
      <c r="I20" s="33" t="n">
        <v>4</v>
      </c>
      <c r="J20" s="33" t="n">
        <v>5</v>
      </c>
      <c r="K20" s="33" t="n">
        <v>2</v>
      </c>
      <c r="L20" s="33" t="n">
        <v>4</v>
      </c>
      <c r="M20" s="33" t="n">
        <v>3</v>
      </c>
      <c r="N20" s="33" t="n">
        <v>3</v>
      </c>
      <c r="O20" s="33" t="n">
        <v>2</v>
      </c>
      <c r="P20" s="33" t="n">
        <v>2</v>
      </c>
      <c r="Q20" s="34" t="n">
        <f aca="false">SUM(E20:P20)</f>
        <v>41</v>
      </c>
    </row>
    <row r="21" customFormat="false" ht="15" hidden="false" customHeight="false" outlineLevel="0" collapsed="false">
      <c r="A21" s="17" t="n">
        <v>18</v>
      </c>
      <c r="B21" s="9" t="s">
        <v>171</v>
      </c>
      <c r="C21" s="9" t="s">
        <v>17</v>
      </c>
      <c r="D21" s="26" t="s">
        <v>172</v>
      </c>
      <c r="E21" s="33" t="n">
        <v>4</v>
      </c>
      <c r="F21" s="33" t="n">
        <v>5</v>
      </c>
      <c r="G21" s="33" t="n">
        <v>3</v>
      </c>
      <c r="H21" s="33" t="n">
        <v>3</v>
      </c>
      <c r="I21" s="33" t="n">
        <v>2</v>
      </c>
      <c r="J21" s="33" t="n">
        <v>2</v>
      </c>
      <c r="K21" s="33" t="n">
        <v>1</v>
      </c>
      <c r="L21" s="33" t="n">
        <v>3</v>
      </c>
      <c r="M21" s="33" t="n">
        <v>1</v>
      </c>
      <c r="N21" s="33" t="n">
        <v>1</v>
      </c>
      <c r="O21" s="33" t="n">
        <v>1</v>
      </c>
      <c r="P21" s="33" t="n">
        <v>1</v>
      </c>
      <c r="Q21" s="34" t="n">
        <f aca="false">SUM(E21:P21)</f>
        <v>27</v>
      </c>
    </row>
    <row r="22" customFormat="false" ht="26.85" hidden="false" customHeight="false" outlineLevel="0" collapsed="false">
      <c r="A22" s="17" t="n">
        <v>19</v>
      </c>
      <c r="B22" s="9" t="s">
        <v>173</v>
      </c>
      <c r="C22" s="9" t="s">
        <v>17</v>
      </c>
      <c r="D22" s="26" t="s">
        <v>174</v>
      </c>
      <c r="E22" s="33" t="n">
        <v>4</v>
      </c>
      <c r="F22" s="33" t="n">
        <v>5</v>
      </c>
      <c r="G22" s="33" t="n">
        <v>3</v>
      </c>
      <c r="H22" s="33" t="n">
        <v>3</v>
      </c>
      <c r="I22" s="33" t="n">
        <v>3</v>
      </c>
      <c r="J22" s="33" t="n">
        <v>3</v>
      </c>
      <c r="K22" s="33" t="n">
        <v>2</v>
      </c>
      <c r="L22" s="33" t="n">
        <v>3</v>
      </c>
      <c r="M22" s="33" t="n">
        <v>2</v>
      </c>
      <c r="N22" s="33" t="n">
        <v>2</v>
      </c>
      <c r="O22" s="33" t="n">
        <v>2</v>
      </c>
      <c r="P22" s="33" t="n">
        <v>1</v>
      </c>
      <c r="Q22" s="34" t="n">
        <f aca="false">SUM(E22:P22)</f>
        <v>33</v>
      </c>
    </row>
    <row r="23" customFormat="false" ht="26.85" hidden="false" customHeight="false" outlineLevel="0" collapsed="false">
      <c r="A23" s="17" t="n">
        <v>20</v>
      </c>
      <c r="B23" s="9" t="s">
        <v>175</v>
      </c>
      <c r="C23" s="9" t="s">
        <v>17</v>
      </c>
      <c r="D23" s="26" t="s">
        <v>176</v>
      </c>
      <c r="E23" s="33" t="n">
        <v>4</v>
      </c>
      <c r="F23" s="33" t="n">
        <v>5</v>
      </c>
      <c r="G23" s="33" t="n">
        <v>2</v>
      </c>
      <c r="H23" s="33" t="n">
        <v>3</v>
      </c>
      <c r="I23" s="33" t="n">
        <v>0</v>
      </c>
      <c r="J23" s="33" t="n">
        <v>0</v>
      </c>
      <c r="K23" s="33" t="n">
        <v>0</v>
      </c>
      <c r="L23" s="33" t="n">
        <v>0</v>
      </c>
      <c r="M23" s="33" t="n">
        <v>0</v>
      </c>
      <c r="N23" s="33" t="n">
        <v>0</v>
      </c>
      <c r="O23" s="33" t="n">
        <v>0</v>
      </c>
      <c r="P23" s="33" t="n">
        <v>0</v>
      </c>
      <c r="Q23" s="34" t="n">
        <f aca="false">SUM(E23:P23)</f>
        <v>14</v>
      </c>
    </row>
    <row r="24" customFormat="false" ht="15" hidden="false" customHeight="false" outlineLevel="0" collapsed="false">
      <c r="A24" s="17" t="n">
        <v>21</v>
      </c>
      <c r="B24" s="9" t="s">
        <v>177</v>
      </c>
      <c r="C24" s="9" t="s">
        <v>17</v>
      </c>
      <c r="D24" s="26" t="s">
        <v>178</v>
      </c>
      <c r="E24" s="33" t="n">
        <v>0</v>
      </c>
      <c r="F24" s="33" t="n">
        <v>0</v>
      </c>
      <c r="G24" s="33" t="n">
        <v>0</v>
      </c>
      <c r="H24" s="33" t="n">
        <v>0</v>
      </c>
      <c r="I24" s="33" t="n">
        <v>4</v>
      </c>
      <c r="J24" s="33" t="n">
        <v>2</v>
      </c>
      <c r="K24" s="33" t="n">
        <v>0</v>
      </c>
      <c r="L24" s="33" t="n">
        <v>5</v>
      </c>
      <c r="M24" s="33" t="n">
        <v>0</v>
      </c>
      <c r="N24" s="33" t="n">
        <v>1</v>
      </c>
      <c r="O24" s="33" t="n">
        <v>0</v>
      </c>
      <c r="P24" s="33" t="n">
        <v>0</v>
      </c>
      <c r="Q24" s="34" t="n">
        <f aca="false">SUM(E24:P24)</f>
        <v>12</v>
      </c>
    </row>
    <row r="25" customFormat="false" ht="26.85" hidden="false" customHeight="false" outlineLevel="0" collapsed="false">
      <c r="A25" s="17" t="n">
        <v>22</v>
      </c>
      <c r="B25" s="9" t="s">
        <v>179</v>
      </c>
      <c r="C25" s="9" t="s">
        <v>17</v>
      </c>
      <c r="D25" s="26" t="s">
        <v>180</v>
      </c>
      <c r="E25" s="33" t="n">
        <v>2</v>
      </c>
      <c r="F25" s="33" t="n">
        <v>4</v>
      </c>
      <c r="G25" s="33" t="n">
        <v>1</v>
      </c>
      <c r="H25" s="33" t="n">
        <v>3</v>
      </c>
      <c r="I25" s="33" t="n">
        <v>1</v>
      </c>
      <c r="J25" s="33" t="n">
        <v>1</v>
      </c>
      <c r="K25" s="33" t="n">
        <v>1</v>
      </c>
      <c r="L25" s="33" t="n">
        <v>2</v>
      </c>
      <c r="M25" s="33" t="n">
        <v>0</v>
      </c>
      <c r="N25" s="33" t="n">
        <v>0</v>
      </c>
      <c r="O25" s="33" t="n">
        <v>0</v>
      </c>
      <c r="P25" s="33" t="n">
        <v>0</v>
      </c>
      <c r="Q25" s="34" t="n">
        <f aca="false">SUM(E25:P25)</f>
        <v>15</v>
      </c>
    </row>
    <row r="26" customFormat="false" ht="26.85" hidden="false" customHeight="false" outlineLevel="0" collapsed="false">
      <c r="A26" s="17" t="n">
        <v>23</v>
      </c>
      <c r="B26" s="9" t="s">
        <v>181</v>
      </c>
      <c r="C26" s="9" t="s">
        <v>17</v>
      </c>
      <c r="D26" s="26" t="s">
        <v>182</v>
      </c>
      <c r="E26" s="33" t="n">
        <v>3</v>
      </c>
      <c r="F26" s="33" t="n">
        <v>5</v>
      </c>
      <c r="G26" s="33" t="n">
        <v>4</v>
      </c>
      <c r="H26" s="33" t="n">
        <v>2</v>
      </c>
      <c r="I26" s="33" t="n">
        <v>0</v>
      </c>
      <c r="J26" s="33" t="n">
        <v>0</v>
      </c>
      <c r="K26" s="33" t="n">
        <v>0</v>
      </c>
      <c r="L26" s="33" t="n">
        <v>0</v>
      </c>
      <c r="M26" s="33" t="n">
        <v>0</v>
      </c>
      <c r="N26" s="33" t="n">
        <v>0</v>
      </c>
      <c r="O26" s="33" t="n">
        <v>0</v>
      </c>
      <c r="P26" s="33" t="n">
        <v>0</v>
      </c>
      <c r="Q26" s="34" t="n">
        <f aca="false">SUM(E26:P26)</f>
        <v>14</v>
      </c>
    </row>
    <row r="27" customFormat="false" ht="15" hidden="false" customHeight="false" outlineLevel="0" collapsed="false">
      <c r="A27" s="17" t="n">
        <v>24</v>
      </c>
      <c r="B27" s="9" t="s">
        <v>183</v>
      </c>
      <c r="C27" s="9" t="s">
        <v>17</v>
      </c>
      <c r="D27" s="26" t="s">
        <v>184</v>
      </c>
      <c r="E27" s="33" t="n">
        <v>3</v>
      </c>
      <c r="F27" s="33" t="n">
        <v>3</v>
      </c>
      <c r="G27" s="33" t="n">
        <v>2</v>
      </c>
      <c r="H27" s="33" t="n">
        <v>3</v>
      </c>
      <c r="I27" s="33" t="n">
        <v>4</v>
      </c>
      <c r="J27" s="33" t="n">
        <v>4</v>
      </c>
      <c r="K27" s="33" t="n">
        <v>3</v>
      </c>
      <c r="L27" s="33" t="n">
        <v>3</v>
      </c>
      <c r="M27" s="33" t="n">
        <v>4</v>
      </c>
      <c r="N27" s="33" t="n">
        <v>3</v>
      </c>
      <c r="O27" s="33" t="n">
        <v>3</v>
      </c>
      <c r="P27" s="33" t="n">
        <v>2</v>
      </c>
      <c r="Q27" s="34" t="n">
        <f aca="false">SUM(E27:P27)</f>
        <v>37</v>
      </c>
    </row>
    <row r="28" customFormat="false" ht="26.85" hidden="false" customHeight="false" outlineLevel="0" collapsed="false">
      <c r="A28" s="17" t="n">
        <v>25</v>
      </c>
      <c r="B28" s="9" t="s">
        <v>185</v>
      </c>
      <c r="C28" s="9" t="s">
        <v>17</v>
      </c>
      <c r="D28" s="26" t="s">
        <v>186</v>
      </c>
      <c r="E28" s="33" t="n">
        <v>4</v>
      </c>
      <c r="F28" s="33" t="n">
        <v>3</v>
      </c>
      <c r="G28" s="33" t="n">
        <v>5</v>
      </c>
      <c r="H28" s="33" t="n">
        <v>5</v>
      </c>
      <c r="I28" s="33" t="n">
        <v>0</v>
      </c>
      <c r="J28" s="33" t="n">
        <v>0</v>
      </c>
      <c r="K28" s="33" t="n">
        <v>0</v>
      </c>
      <c r="L28" s="33" t="n">
        <v>0</v>
      </c>
      <c r="M28" s="33" t="n">
        <v>0</v>
      </c>
      <c r="N28" s="33" t="n">
        <v>0</v>
      </c>
      <c r="O28" s="33" t="n">
        <v>0</v>
      </c>
      <c r="P28" s="33" t="n">
        <v>0</v>
      </c>
      <c r="Q28" s="34" t="n">
        <f aca="false">SUM(E28:P28)</f>
        <v>17</v>
      </c>
    </row>
    <row r="29" customFormat="false" ht="26.85" hidden="false" customHeight="false" outlineLevel="0" collapsed="false">
      <c r="A29" s="17" t="n">
        <v>26</v>
      </c>
      <c r="B29" s="9" t="s">
        <v>187</v>
      </c>
      <c r="C29" s="9" t="s">
        <v>17</v>
      </c>
      <c r="D29" s="26" t="s">
        <v>188</v>
      </c>
      <c r="E29" s="33" t="n">
        <v>0</v>
      </c>
      <c r="F29" s="33" t="n">
        <v>0</v>
      </c>
      <c r="G29" s="33" t="n">
        <v>0</v>
      </c>
      <c r="H29" s="33" t="n">
        <v>0</v>
      </c>
      <c r="I29" s="33" t="n">
        <v>1</v>
      </c>
      <c r="J29" s="33" t="n">
        <v>0</v>
      </c>
      <c r="K29" s="33" t="n">
        <v>0</v>
      </c>
      <c r="L29" s="33" t="n">
        <v>0</v>
      </c>
      <c r="M29" s="33" t="n">
        <v>3</v>
      </c>
      <c r="N29" s="33" t="n">
        <v>5</v>
      </c>
      <c r="O29" s="33" t="n">
        <v>1</v>
      </c>
      <c r="P29" s="33" t="n">
        <v>0</v>
      </c>
      <c r="Q29" s="34" t="n">
        <f aca="false">SUM(E29:P29)</f>
        <v>10</v>
      </c>
    </row>
    <row r="30" customFormat="false" ht="26.85" hidden="false" customHeight="false" outlineLevel="0" collapsed="false">
      <c r="A30" s="17" t="n">
        <v>27</v>
      </c>
      <c r="B30" s="9" t="s">
        <v>189</v>
      </c>
      <c r="C30" s="9" t="s">
        <v>17</v>
      </c>
      <c r="D30" s="26" t="s">
        <v>190</v>
      </c>
      <c r="E30" s="33" t="n">
        <v>0</v>
      </c>
      <c r="F30" s="33" t="n">
        <v>0</v>
      </c>
      <c r="G30" s="33" t="n">
        <v>0</v>
      </c>
      <c r="H30" s="33" t="n">
        <v>0</v>
      </c>
      <c r="I30" s="33" t="n">
        <v>2</v>
      </c>
      <c r="J30" s="33" t="n">
        <v>1</v>
      </c>
      <c r="K30" s="33" t="n">
        <v>4</v>
      </c>
      <c r="L30" s="33" t="n">
        <v>5</v>
      </c>
      <c r="M30" s="33" t="n">
        <v>1</v>
      </c>
      <c r="N30" s="33" t="n">
        <v>1</v>
      </c>
      <c r="O30" s="33" t="n">
        <v>1</v>
      </c>
      <c r="P30" s="33" t="n">
        <v>0</v>
      </c>
      <c r="Q30" s="34" t="n">
        <f aca="false">SUM(E30:P30)</f>
        <v>15</v>
      </c>
    </row>
    <row r="31" customFormat="false" ht="26.85" hidden="false" customHeight="false" outlineLevel="0" collapsed="false">
      <c r="A31" s="17" t="n">
        <v>28</v>
      </c>
      <c r="B31" s="9" t="s">
        <v>191</v>
      </c>
      <c r="C31" s="9" t="s">
        <v>17</v>
      </c>
      <c r="D31" s="26" t="s">
        <v>192</v>
      </c>
      <c r="E31" s="33" t="n">
        <v>0</v>
      </c>
      <c r="F31" s="33" t="n">
        <v>0</v>
      </c>
      <c r="G31" s="33" t="n">
        <v>0</v>
      </c>
      <c r="H31" s="33" t="n">
        <v>0</v>
      </c>
      <c r="I31" s="33" t="n">
        <v>0</v>
      </c>
      <c r="J31" s="33" t="n">
        <v>5</v>
      </c>
      <c r="K31" s="33" t="n">
        <v>2</v>
      </c>
      <c r="L31" s="33" t="n">
        <v>1</v>
      </c>
      <c r="M31" s="33" t="n">
        <v>0</v>
      </c>
      <c r="N31" s="33" t="n">
        <v>0</v>
      </c>
      <c r="O31" s="33" t="n">
        <v>0</v>
      </c>
      <c r="P31" s="33" t="n">
        <v>0</v>
      </c>
      <c r="Q31" s="34" t="n">
        <f aca="false">SUM(E31:P31)</f>
        <v>8</v>
      </c>
    </row>
    <row r="32" customFormat="false" ht="26.85" hidden="false" customHeight="false" outlineLevel="0" collapsed="false">
      <c r="A32" s="17" t="n">
        <v>29</v>
      </c>
      <c r="B32" s="9" t="s">
        <v>193</v>
      </c>
      <c r="C32" s="9" t="s">
        <v>17</v>
      </c>
      <c r="D32" s="26" t="s">
        <v>194</v>
      </c>
      <c r="E32" s="33" t="n">
        <v>0</v>
      </c>
      <c r="F32" s="33" t="n">
        <v>0</v>
      </c>
      <c r="G32" s="33" t="n">
        <v>0</v>
      </c>
      <c r="H32" s="33" t="n">
        <v>1</v>
      </c>
      <c r="I32" s="33" t="n">
        <v>3</v>
      </c>
      <c r="J32" s="33" t="n">
        <v>2</v>
      </c>
      <c r="K32" s="33" t="n">
        <v>3</v>
      </c>
      <c r="L32" s="33" t="n">
        <v>3</v>
      </c>
      <c r="M32" s="33" t="n">
        <v>4</v>
      </c>
      <c r="N32" s="33" t="n">
        <v>2</v>
      </c>
      <c r="O32" s="33" t="n">
        <v>5</v>
      </c>
      <c r="P32" s="33" t="n">
        <v>2</v>
      </c>
      <c r="Q32" s="34" t="n">
        <f aca="false">SUM(E32:P32)</f>
        <v>25</v>
      </c>
    </row>
    <row r="33" customFormat="false" ht="26.85" hidden="false" customHeight="false" outlineLevel="0" collapsed="false">
      <c r="A33" s="17" t="n">
        <v>30</v>
      </c>
      <c r="B33" s="9" t="s">
        <v>195</v>
      </c>
      <c r="C33" s="9" t="s">
        <v>17</v>
      </c>
      <c r="D33" s="26" t="s">
        <v>196</v>
      </c>
      <c r="E33" s="33" t="n">
        <v>0</v>
      </c>
      <c r="F33" s="33" t="n">
        <v>1</v>
      </c>
      <c r="G33" s="33" t="n">
        <v>0</v>
      </c>
      <c r="H33" s="33" t="n">
        <v>1</v>
      </c>
      <c r="I33" s="33" t="n">
        <v>2</v>
      </c>
      <c r="J33" s="33" t="n">
        <v>4</v>
      </c>
      <c r="K33" s="33" t="n">
        <v>1</v>
      </c>
      <c r="L33" s="33" t="n">
        <v>3</v>
      </c>
      <c r="M33" s="33" t="n">
        <v>3</v>
      </c>
      <c r="N33" s="33" t="n">
        <v>3</v>
      </c>
      <c r="O33" s="33" t="n">
        <v>4</v>
      </c>
      <c r="P33" s="33" t="n">
        <v>1</v>
      </c>
      <c r="Q33" s="34" t="n">
        <f aca="false">SUM(E33:P33)</f>
        <v>23</v>
      </c>
    </row>
    <row r="34" customFormat="false" ht="26.85" hidden="false" customHeight="false" outlineLevel="0" collapsed="false">
      <c r="A34" s="17" t="n">
        <v>31</v>
      </c>
      <c r="B34" s="9" t="s">
        <v>197</v>
      </c>
      <c r="C34" s="9" t="s">
        <v>17</v>
      </c>
      <c r="D34" s="26" t="s">
        <v>198</v>
      </c>
      <c r="E34" s="33" t="n">
        <v>2</v>
      </c>
      <c r="F34" s="33" t="n">
        <v>5</v>
      </c>
      <c r="G34" s="33" t="n">
        <v>1</v>
      </c>
      <c r="H34" s="33" t="n">
        <v>2</v>
      </c>
      <c r="I34" s="33" t="n">
        <v>0</v>
      </c>
      <c r="J34" s="33" t="n">
        <v>0</v>
      </c>
      <c r="K34" s="33" t="n">
        <v>0</v>
      </c>
      <c r="L34" s="33" t="n">
        <v>0</v>
      </c>
      <c r="M34" s="33" t="n">
        <v>0</v>
      </c>
      <c r="N34" s="33" t="n">
        <v>0</v>
      </c>
      <c r="O34" s="33" t="n">
        <v>0</v>
      </c>
      <c r="P34" s="33" t="n">
        <v>0</v>
      </c>
      <c r="Q34" s="34" t="n">
        <f aca="false">SUM(E34:P34)</f>
        <v>10</v>
      </c>
    </row>
    <row r="35" customFormat="false" ht="15" hidden="false" customHeight="false" outlineLevel="0" collapsed="false">
      <c r="A35" s="17" t="n">
        <v>32</v>
      </c>
      <c r="B35" s="9" t="s">
        <v>199</v>
      </c>
      <c r="C35" s="9" t="s">
        <v>18</v>
      </c>
      <c r="D35" s="26" t="s">
        <v>200</v>
      </c>
      <c r="E35" s="33" t="n">
        <v>3</v>
      </c>
      <c r="F35" s="33" t="n">
        <v>3</v>
      </c>
      <c r="G35" s="33" t="n">
        <v>3</v>
      </c>
      <c r="H35" s="33" t="n">
        <v>3</v>
      </c>
      <c r="I35" s="33" t="n">
        <v>5</v>
      </c>
      <c r="J35" s="33" t="n">
        <v>4</v>
      </c>
      <c r="K35" s="33" t="n">
        <v>3</v>
      </c>
      <c r="L35" s="33" t="n">
        <v>5</v>
      </c>
      <c r="M35" s="33" t="n">
        <v>3</v>
      </c>
      <c r="N35" s="33" t="n">
        <v>4</v>
      </c>
      <c r="O35" s="33" t="n">
        <v>2</v>
      </c>
      <c r="P35" s="33" t="n">
        <v>2</v>
      </c>
      <c r="Q35" s="34" t="n">
        <f aca="false">SUM(E35:P35)</f>
        <v>40</v>
      </c>
    </row>
    <row r="36" customFormat="false" ht="15" hidden="false" customHeight="false" outlineLevel="0" collapsed="false">
      <c r="A36" s="17" t="n">
        <v>33</v>
      </c>
      <c r="B36" s="9" t="s">
        <v>201</v>
      </c>
      <c r="C36" s="9" t="s">
        <v>18</v>
      </c>
      <c r="D36" s="26" t="s">
        <v>202</v>
      </c>
      <c r="E36" s="33" t="n">
        <v>3</v>
      </c>
      <c r="F36" s="33" t="n">
        <v>3</v>
      </c>
      <c r="G36" s="33" t="n">
        <v>3</v>
      </c>
      <c r="H36" s="33" t="n">
        <v>3</v>
      </c>
      <c r="I36" s="33" t="n">
        <v>2</v>
      </c>
      <c r="J36" s="33" t="n">
        <v>2</v>
      </c>
      <c r="K36" s="33" t="n">
        <v>2</v>
      </c>
      <c r="L36" s="33" t="n">
        <v>3</v>
      </c>
      <c r="M36" s="33" t="n">
        <v>2</v>
      </c>
      <c r="N36" s="33" t="n">
        <v>2</v>
      </c>
      <c r="O36" s="33" t="n">
        <v>1</v>
      </c>
      <c r="P36" s="33" t="n">
        <v>1</v>
      </c>
      <c r="Q36" s="34" t="n">
        <f aca="false">SUM(E36:P36)</f>
        <v>27</v>
      </c>
    </row>
    <row r="37" customFormat="false" ht="15" hidden="false" customHeight="false" outlineLevel="0" collapsed="false">
      <c r="A37" s="17" t="n">
        <v>34</v>
      </c>
      <c r="B37" s="9" t="s">
        <v>203</v>
      </c>
      <c r="C37" s="9" t="s">
        <v>18</v>
      </c>
      <c r="D37" s="26" t="s">
        <v>204</v>
      </c>
      <c r="E37" s="33" t="n">
        <v>3</v>
      </c>
      <c r="F37" s="33" t="n">
        <v>3</v>
      </c>
      <c r="G37" s="33" t="n">
        <v>2</v>
      </c>
      <c r="H37" s="33" t="n">
        <v>3</v>
      </c>
      <c r="I37" s="33" t="n">
        <v>4</v>
      </c>
      <c r="J37" s="33" t="n">
        <v>4</v>
      </c>
      <c r="K37" s="33" t="n">
        <v>3</v>
      </c>
      <c r="L37" s="33" t="n">
        <v>4</v>
      </c>
      <c r="M37" s="33" t="n">
        <v>3</v>
      </c>
      <c r="N37" s="33" t="n">
        <v>3</v>
      </c>
      <c r="O37" s="33" t="n">
        <v>2</v>
      </c>
      <c r="P37" s="33" t="n">
        <v>2</v>
      </c>
      <c r="Q37" s="34" t="n">
        <f aca="false">SUM(E37:P37)</f>
        <v>36</v>
      </c>
    </row>
    <row r="38" customFormat="false" ht="15" hidden="false" customHeight="false" outlineLevel="0" collapsed="false">
      <c r="A38" s="17" t="n">
        <v>35</v>
      </c>
      <c r="B38" s="9" t="s">
        <v>205</v>
      </c>
      <c r="C38" s="9" t="s">
        <v>18</v>
      </c>
      <c r="D38" s="26" t="s">
        <v>206</v>
      </c>
      <c r="E38" s="33" t="n">
        <v>4</v>
      </c>
      <c r="F38" s="33" t="n">
        <v>4</v>
      </c>
      <c r="G38" s="33" t="n">
        <v>5</v>
      </c>
      <c r="H38" s="33" t="n">
        <v>2</v>
      </c>
      <c r="I38" s="33" t="n">
        <v>2</v>
      </c>
      <c r="J38" s="33" t="n">
        <v>1</v>
      </c>
      <c r="K38" s="33" t="n">
        <v>1</v>
      </c>
      <c r="L38" s="33" t="n">
        <v>2</v>
      </c>
      <c r="M38" s="33" t="n">
        <v>1</v>
      </c>
      <c r="N38" s="33" t="n">
        <v>1</v>
      </c>
      <c r="O38" s="33" t="n">
        <v>1</v>
      </c>
      <c r="P38" s="33" t="n">
        <v>0</v>
      </c>
      <c r="Q38" s="34" t="n">
        <f aca="false">SUM(E38:P38)</f>
        <v>24</v>
      </c>
    </row>
    <row r="39" customFormat="false" ht="26.85" hidden="false" customHeight="false" outlineLevel="0" collapsed="false">
      <c r="A39" s="17" t="n">
        <v>36</v>
      </c>
      <c r="B39" s="9" t="s">
        <v>207</v>
      </c>
      <c r="C39" s="9" t="s">
        <v>18</v>
      </c>
      <c r="D39" s="26" t="s">
        <v>208</v>
      </c>
      <c r="E39" s="33" t="n">
        <v>2</v>
      </c>
      <c r="F39" s="33" t="n">
        <v>2</v>
      </c>
      <c r="G39" s="33" t="n">
        <v>1</v>
      </c>
      <c r="H39" s="33" t="n">
        <v>2</v>
      </c>
      <c r="I39" s="33" t="n">
        <v>2</v>
      </c>
      <c r="J39" s="33" t="n">
        <v>1</v>
      </c>
      <c r="K39" s="33" t="n">
        <v>1</v>
      </c>
      <c r="L39" s="33" t="n">
        <v>4</v>
      </c>
      <c r="M39" s="33" t="n">
        <v>2</v>
      </c>
      <c r="N39" s="33" t="n">
        <v>5</v>
      </c>
      <c r="O39" s="33" t="n">
        <v>1</v>
      </c>
      <c r="P39" s="33" t="n">
        <v>1</v>
      </c>
      <c r="Q39" s="34" t="n">
        <f aca="false">SUM(E39:P39)</f>
        <v>24</v>
      </c>
    </row>
    <row r="40" customFormat="false" ht="26.85" hidden="false" customHeight="false" outlineLevel="0" collapsed="false">
      <c r="A40" s="17" t="n">
        <v>37</v>
      </c>
      <c r="B40" s="9" t="s">
        <v>209</v>
      </c>
      <c r="C40" s="9" t="s">
        <v>18</v>
      </c>
      <c r="D40" s="26" t="s">
        <v>210</v>
      </c>
      <c r="E40" s="33" t="n">
        <v>5</v>
      </c>
      <c r="F40" s="33" t="n">
        <v>5</v>
      </c>
      <c r="G40" s="33" t="n">
        <v>4</v>
      </c>
      <c r="H40" s="33" t="n">
        <v>2</v>
      </c>
      <c r="I40" s="33" t="n">
        <v>0</v>
      </c>
      <c r="J40" s="33" t="n">
        <v>0</v>
      </c>
      <c r="K40" s="33" t="n">
        <v>0</v>
      </c>
      <c r="L40" s="33" t="n">
        <v>0</v>
      </c>
      <c r="M40" s="33" t="n">
        <v>0</v>
      </c>
      <c r="N40" s="33" t="n">
        <v>0</v>
      </c>
      <c r="O40" s="33" t="n">
        <v>0</v>
      </c>
      <c r="P40" s="33" t="n">
        <v>0</v>
      </c>
      <c r="Q40" s="34" t="n">
        <f aca="false">SUM(E40:P40)</f>
        <v>16</v>
      </c>
    </row>
    <row r="41" customFormat="false" ht="26.85" hidden="false" customHeight="false" outlineLevel="0" collapsed="false">
      <c r="A41" s="17" t="n">
        <v>38</v>
      </c>
      <c r="B41" s="9" t="s">
        <v>211</v>
      </c>
      <c r="C41" s="9" t="s">
        <v>18</v>
      </c>
      <c r="D41" s="26" t="s">
        <v>212</v>
      </c>
      <c r="E41" s="33" t="n">
        <v>3</v>
      </c>
      <c r="F41" s="33" t="n">
        <v>3</v>
      </c>
      <c r="G41" s="33" t="n">
        <v>3</v>
      </c>
      <c r="H41" s="33" t="n">
        <v>3</v>
      </c>
      <c r="I41" s="33" t="n">
        <v>4</v>
      </c>
      <c r="J41" s="33" t="n">
        <v>4</v>
      </c>
      <c r="K41" s="33" t="n">
        <v>3</v>
      </c>
      <c r="L41" s="33" t="n">
        <v>4</v>
      </c>
      <c r="M41" s="33" t="n">
        <v>3</v>
      </c>
      <c r="N41" s="33" t="n">
        <v>3</v>
      </c>
      <c r="O41" s="33" t="n">
        <v>3</v>
      </c>
      <c r="P41" s="33" t="n">
        <v>3</v>
      </c>
      <c r="Q41" s="34" t="n">
        <f aca="false">SUM(E41:P41)</f>
        <v>39</v>
      </c>
    </row>
    <row r="42" customFormat="false" ht="26.85" hidden="false" customHeight="false" outlineLevel="0" collapsed="false">
      <c r="A42" s="17" t="n">
        <v>39</v>
      </c>
      <c r="B42" s="9" t="s">
        <v>213</v>
      </c>
      <c r="C42" s="9" t="s">
        <v>18</v>
      </c>
      <c r="D42" s="26" t="s">
        <v>214</v>
      </c>
      <c r="E42" s="33" t="n">
        <v>2</v>
      </c>
      <c r="F42" s="33" t="n">
        <v>2</v>
      </c>
      <c r="G42" s="33" t="n">
        <v>2</v>
      </c>
      <c r="H42" s="33" t="n">
        <v>2</v>
      </c>
      <c r="I42" s="33" t="n">
        <v>4</v>
      </c>
      <c r="J42" s="33" t="n">
        <v>3</v>
      </c>
      <c r="K42" s="33" t="n">
        <v>2</v>
      </c>
      <c r="L42" s="33" t="n">
        <v>4</v>
      </c>
      <c r="M42" s="33" t="n">
        <v>3</v>
      </c>
      <c r="N42" s="33" t="n">
        <v>4</v>
      </c>
      <c r="O42" s="33" t="n">
        <v>2</v>
      </c>
      <c r="P42" s="33" t="n">
        <v>2</v>
      </c>
      <c r="Q42" s="34" t="n">
        <f aca="false">SUM(E42:P42)</f>
        <v>32</v>
      </c>
    </row>
    <row r="43" customFormat="false" ht="15" hidden="false" customHeight="false" outlineLevel="0" collapsed="false">
      <c r="A43" s="17" t="n">
        <v>40</v>
      </c>
      <c r="B43" s="9" t="s">
        <v>215</v>
      </c>
      <c r="C43" s="9" t="s">
        <v>18</v>
      </c>
      <c r="D43" s="26" t="s">
        <v>216</v>
      </c>
      <c r="E43" s="33" t="n">
        <v>4</v>
      </c>
      <c r="F43" s="33" t="n">
        <v>4</v>
      </c>
      <c r="G43" s="33" t="n">
        <v>4</v>
      </c>
      <c r="H43" s="33" t="n">
        <v>3</v>
      </c>
      <c r="I43" s="33" t="n">
        <v>2</v>
      </c>
      <c r="J43" s="33" t="n">
        <v>1</v>
      </c>
      <c r="K43" s="33" t="n">
        <v>1</v>
      </c>
      <c r="L43" s="33" t="n">
        <v>2</v>
      </c>
      <c r="M43" s="33" t="n">
        <v>1</v>
      </c>
      <c r="N43" s="33" t="n">
        <v>1</v>
      </c>
      <c r="O43" s="33" t="n">
        <v>1</v>
      </c>
      <c r="P43" s="33" t="n">
        <v>0</v>
      </c>
      <c r="Q43" s="34" t="n">
        <f aca="false">SUM(E43:P43)</f>
        <v>24</v>
      </c>
    </row>
    <row r="44" customFormat="false" ht="26.85" hidden="false" customHeight="false" outlineLevel="0" collapsed="false">
      <c r="A44" s="17" t="n">
        <v>41</v>
      </c>
      <c r="B44" s="9" t="s">
        <v>217</v>
      </c>
      <c r="C44" s="9" t="s">
        <v>18</v>
      </c>
      <c r="D44" s="26" t="s">
        <v>218</v>
      </c>
      <c r="E44" s="33" t="n">
        <v>3</v>
      </c>
      <c r="F44" s="33" t="n">
        <v>3</v>
      </c>
      <c r="G44" s="33" t="n">
        <v>3</v>
      </c>
      <c r="H44" s="33" t="n">
        <v>3</v>
      </c>
      <c r="I44" s="33" t="n">
        <v>3</v>
      </c>
      <c r="J44" s="33" t="n">
        <v>3</v>
      </c>
      <c r="K44" s="33" t="n">
        <v>3</v>
      </c>
      <c r="L44" s="33" t="n">
        <v>3</v>
      </c>
      <c r="M44" s="33" t="n">
        <v>3</v>
      </c>
      <c r="N44" s="33" t="n">
        <v>3</v>
      </c>
      <c r="O44" s="33" t="n">
        <v>3</v>
      </c>
      <c r="P44" s="33" t="n">
        <v>3</v>
      </c>
      <c r="Q44" s="34" t="n">
        <f aca="false">SUM(E44:P44)</f>
        <v>36</v>
      </c>
    </row>
    <row r="45" customFormat="false" ht="15" hidden="false" customHeight="false" outlineLevel="0" collapsed="false">
      <c r="A45" s="17" t="n">
        <v>42</v>
      </c>
      <c r="B45" s="9" t="s">
        <v>219</v>
      </c>
      <c r="C45" s="9" t="s">
        <v>19</v>
      </c>
      <c r="D45" s="26" t="s">
        <v>220</v>
      </c>
      <c r="E45" s="33" t="n">
        <v>5</v>
      </c>
      <c r="F45" s="33" t="n">
        <v>4</v>
      </c>
      <c r="G45" s="33" t="n">
        <v>3</v>
      </c>
      <c r="H45" s="33" t="n">
        <v>3</v>
      </c>
      <c r="I45" s="33" t="n">
        <v>4</v>
      </c>
      <c r="J45" s="33" t="n">
        <v>3</v>
      </c>
      <c r="K45" s="33" t="n">
        <v>3</v>
      </c>
      <c r="L45" s="33" t="n">
        <v>4</v>
      </c>
      <c r="M45" s="33" t="n">
        <v>3</v>
      </c>
      <c r="N45" s="33" t="n">
        <v>4</v>
      </c>
      <c r="O45" s="33" t="n">
        <v>3</v>
      </c>
      <c r="P45" s="33" t="n">
        <v>3</v>
      </c>
      <c r="Q45" s="34" t="n">
        <f aca="false">SUM(E45:P45)</f>
        <v>42</v>
      </c>
    </row>
    <row r="46" customFormat="false" ht="15" hidden="false" customHeight="false" outlineLevel="0" collapsed="false">
      <c r="A46" s="17" t="n">
        <v>43</v>
      </c>
      <c r="B46" s="9" t="s">
        <v>221</v>
      </c>
      <c r="C46" s="9" t="s">
        <v>19</v>
      </c>
      <c r="D46" s="26" t="s">
        <v>222</v>
      </c>
      <c r="E46" s="33" t="n">
        <v>2</v>
      </c>
      <c r="F46" s="33" t="n">
        <v>3</v>
      </c>
      <c r="G46" s="33" t="n">
        <v>2</v>
      </c>
      <c r="H46" s="33" t="n">
        <v>3</v>
      </c>
      <c r="I46" s="33" t="n">
        <v>4</v>
      </c>
      <c r="J46" s="33" t="n">
        <v>4</v>
      </c>
      <c r="K46" s="33" t="n">
        <v>3</v>
      </c>
      <c r="L46" s="33" t="n">
        <v>5</v>
      </c>
      <c r="M46" s="33" t="n">
        <v>3</v>
      </c>
      <c r="N46" s="33" t="n">
        <v>4</v>
      </c>
      <c r="O46" s="33" t="n">
        <v>4</v>
      </c>
      <c r="P46" s="33" t="n">
        <v>4</v>
      </c>
      <c r="Q46" s="34" t="n">
        <f aca="false">SUM(E46:P46)</f>
        <v>41</v>
      </c>
    </row>
    <row r="47" customFormat="false" ht="15" hidden="false" customHeight="false" outlineLevel="0" collapsed="false">
      <c r="A47" s="17" t="n">
        <v>44</v>
      </c>
      <c r="B47" s="9" t="s">
        <v>223</v>
      </c>
      <c r="C47" s="9" t="s">
        <v>19</v>
      </c>
      <c r="D47" s="26" t="s">
        <v>224</v>
      </c>
      <c r="E47" s="33" t="n">
        <v>1</v>
      </c>
      <c r="F47" s="33" t="n">
        <v>4</v>
      </c>
      <c r="G47" s="33" t="n">
        <v>2</v>
      </c>
      <c r="H47" s="33" t="n">
        <v>3</v>
      </c>
      <c r="I47" s="33" t="n">
        <v>3</v>
      </c>
      <c r="J47" s="33" t="n">
        <v>2</v>
      </c>
      <c r="K47" s="33" t="n">
        <v>2</v>
      </c>
      <c r="L47" s="33" t="n">
        <v>4</v>
      </c>
      <c r="M47" s="33" t="n">
        <v>3</v>
      </c>
      <c r="N47" s="33" t="n">
        <v>3</v>
      </c>
      <c r="O47" s="33" t="n">
        <v>3</v>
      </c>
      <c r="P47" s="33" t="n">
        <v>2</v>
      </c>
      <c r="Q47" s="34" t="n">
        <f aca="false">SUM(E47:P47)</f>
        <v>32</v>
      </c>
    </row>
    <row r="48" customFormat="false" ht="15" hidden="false" customHeight="false" outlineLevel="0" collapsed="false">
      <c r="A48" s="17" t="n">
        <v>45</v>
      </c>
      <c r="B48" s="9" t="s">
        <v>225</v>
      </c>
      <c r="C48" s="9" t="s">
        <v>19</v>
      </c>
      <c r="D48" s="26" t="s">
        <v>226</v>
      </c>
      <c r="E48" s="33" t="n">
        <v>1</v>
      </c>
      <c r="F48" s="33" t="n">
        <v>5</v>
      </c>
      <c r="G48" s="33" t="n">
        <v>1</v>
      </c>
      <c r="H48" s="33" t="n">
        <v>4</v>
      </c>
      <c r="I48" s="33" t="n">
        <v>1</v>
      </c>
      <c r="J48" s="33" t="n">
        <v>2</v>
      </c>
      <c r="K48" s="33" t="n">
        <v>0</v>
      </c>
      <c r="L48" s="33" t="n">
        <v>1</v>
      </c>
      <c r="M48" s="33" t="n">
        <v>0</v>
      </c>
      <c r="N48" s="33" t="n">
        <v>0</v>
      </c>
      <c r="O48" s="33" t="n">
        <v>1</v>
      </c>
      <c r="P48" s="33" t="n">
        <v>0</v>
      </c>
      <c r="Q48" s="34" t="n">
        <f aca="false">SUM(E48:P48)</f>
        <v>16</v>
      </c>
    </row>
    <row r="49" customFormat="false" ht="15" hidden="false" customHeight="false" outlineLevel="0" collapsed="false">
      <c r="A49" s="17" t="n">
        <v>46</v>
      </c>
      <c r="B49" s="9" t="s">
        <v>227</v>
      </c>
      <c r="C49" s="9" t="s">
        <v>19</v>
      </c>
      <c r="D49" s="26" t="s">
        <v>228</v>
      </c>
      <c r="E49" s="33" t="n">
        <v>3</v>
      </c>
      <c r="F49" s="33" t="n">
        <v>3</v>
      </c>
      <c r="G49" s="33" t="n">
        <v>3</v>
      </c>
      <c r="H49" s="33" t="n">
        <v>3</v>
      </c>
      <c r="I49" s="33" t="n">
        <v>3</v>
      </c>
      <c r="J49" s="33" t="n">
        <v>3</v>
      </c>
      <c r="K49" s="33" t="n">
        <v>3</v>
      </c>
      <c r="L49" s="33" t="n">
        <v>3</v>
      </c>
      <c r="M49" s="33" t="n">
        <v>3</v>
      </c>
      <c r="N49" s="33" t="n">
        <v>3</v>
      </c>
      <c r="O49" s="33" t="n">
        <v>3</v>
      </c>
      <c r="P49" s="33" t="n">
        <v>3</v>
      </c>
      <c r="Q49" s="34" t="n">
        <f aca="false">SUM(E49:P49)</f>
        <v>36</v>
      </c>
    </row>
    <row r="50" customFormat="false" ht="26.85" hidden="false" customHeight="false" outlineLevel="0" collapsed="false">
      <c r="A50" s="17" t="n">
        <v>47</v>
      </c>
      <c r="B50" s="9" t="s">
        <v>229</v>
      </c>
      <c r="C50" s="9" t="s">
        <v>19</v>
      </c>
      <c r="D50" s="26" t="s">
        <v>230</v>
      </c>
      <c r="E50" s="33" t="n">
        <v>3</v>
      </c>
      <c r="F50" s="33" t="n">
        <v>3</v>
      </c>
      <c r="G50" s="33" t="n">
        <v>3</v>
      </c>
      <c r="H50" s="33" t="n">
        <v>3</v>
      </c>
      <c r="I50" s="33" t="n">
        <v>3</v>
      </c>
      <c r="J50" s="33" t="n">
        <v>3</v>
      </c>
      <c r="K50" s="33" t="n">
        <v>3</v>
      </c>
      <c r="L50" s="33" t="n">
        <v>3</v>
      </c>
      <c r="M50" s="33" t="n">
        <v>3</v>
      </c>
      <c r="N50" s="33" t="n">
        <v>3</v>
      </c>
      <c r="O50" s="33" t="n">
        <v>2</v>
      </c>
      <c r="P50" s="33" t="n">
        <v>2</v>
      </c>
      <c r="Q50" s="34" t="n">
        <f aca="false">SUM(E50:P50)</f>
        <v>34</v>
      </c>
    </row>
    <row r="51" customFormat="false" ht="15" hidden="false" customHeight="false" outlineLevel="0" collapsed="false">
      <c r="A51" s="17" t="n">
        <v>48</v>
      </c>
      <c r="B51" s="9" t="s">
        <v>231</v>
      </c>
      <c r="C51" s="9" t="s">
        <v>19</v>
      </c>
      <c r="D51" s="26" t="s">
        <v>232</v>
      </c>
      <c r="E51" s="33" t="n">
        <v>4</v>
      </c>
      <c r="F51" s="33" t="n">
        <v>4</v>
      </c>
      <c r="G51" s="33" t="n">
        <v>3</v>
      </c>
      <c r="H51" s="33" t="n">
        <v>3</v>
      </c>
      <c r="I51" s="33" t="n">
        <v>1</v>
      </c>
      <c r="J51" s="33" t="n">
        <v>1</v>
      </c>
      <c r="K51" s="33" t="n">
        <v>0</v>
      </c>
      <c r="L51" s="33" t="n">
        <v>1</v>
      </c>
      <c r="M51" s="33" t="n">
        <v>0</v>
      </c>
      <c r="N51" s="33" t="n">
        <v>0</v>
      </c>
      <c r="O51" s="33" t="n">
        <v>0</v>
      </c>
      <c r="P51" s="33" t="n">
        <v>0</v>
      </c>
      <c r="Q51" s="34" t="n">
        <f aca="false">SUM(E51:P51)</f>
        <v>17</v>
      </c>
    </row>
    <row r="52" customFormat="false" ht="26.85" hidden="false" customHeight="false" outlineLevel="0" collapsed="false">
      <c r="A52" s="17" t="n">
        <v>49</v>
      </c>
      <c r="B52" s="9" t="s">
        <v>233</v>
      </c>
      <c r="C52" s="9" t="s">
        <v>19</v>
      </c>
      <c r="D52" s="26" t="s">
        <v>234</v>
      </c>
      <c r="E52" s="33" t="n">
        <v>0</v>
      </c>
      <c r="F52" s="33" t="n">
        <v>0</v>
      </c>
      <c r="G52" s="33" t="n">
        <v>0</v>
      </c>
      <c r="H52" s="33" t="n">
        <v>0</v>
      </c>
      <c r="I52" s="33" t="n">
        <v>3</v>
      </c>
      <c r="J52" s="33" t="n">
        <v>4</v>
      </c>
      <c r="K52" s="33" t="n">
        <v>0</v>
      </c>
      <c r="L52" s="33" t="n">
        <v>5</v>
      </c>
      <c r="M52" s="33" t="n">
        <v>2</v>
      </c>
      <c r="N52" s="33" t="n">
        <v>4</v>
      </c>
      <c r="O52" s="33" t="n">
        <v>0</v>
      </c>
      <c r="P52" s="33" t="n">
        <v>0</v>
      </c>
      <c r="Q52" s="34" t="n">
        <f aca="false">SUM(E52:P52)</f>
        <v>18</v>
      </c>
    </row>
    <row r="53" customFormat="false" ht="26.85" hidden="false" customHeight="false" outlineLevel="0" collapsed="false">
      <c r="A53" s="17" t="n">
        <v>50</v>
      </c>
      <c r="B53" s="9" t="s">
        <v>235</v>
      </c>
      <c r="C53" s="9" t="s">
        <v>19</v>
      </c>
      <c r="D53" s="26" t="s">
        <v>236</v>
      </c>
      <c r="E53" s="33" t="n">
        <v>3</v>
      </c>
      <c r="F53" s="33" t="n">
        <v>3</v>
      </c>
      <c r="G53" s="33" t="n">
        <v>3</v>
      </c>
      <c r="H53" s="33" t="n">
        <v>3</v>
      </c>
      <c r="I53" s="33" t="n">
        <v>3</v>
      </c>
      <c r="J53" s="33" t="n">
        <v>3</v>
      </c>
      <c r="K53" s="33" t="n">
        <v>2</v>
      </c>
      <c r="L53" s="33" t="n">
        <v>3</v>
      </c>
      <c r="M53" s="33" t="n">
        <v>2</v>
      </c>
      <c r="N53" s="33" t="n">
        <v>3</v>
      </c>
      <c r="O53" s="33" t="n">
        <v>2</v>
      </c>
      <c r="P53" s="33" t="n">
        <v>2</v>
      </c>
      <c r="Q53" s="34" t="n">
        <f aca="false">SUM(E53:P53)</f>
        <v>32</v>
      </c>
    </row>
    <row r="54" customFormat="false" ht="26.85" hidden="false" customHeight="false" outlineLevel="0" collapsed="false">
      <c r="A54" s="17" t="n">
        <v>51</v>
      </c>
      <c r="B54" s="9" t="s">
        <v>237</v>
      </c>
      <c r="C54" s="9" t="s">
        <v>19</v>
      </c>
      <c r="D54" s="26" t="s">
        <v>238</v>
      </c>
      <c r="E54" s="33" t="n">
        <v>2</v>
      </c>
      <c r="F54" s="33" t="n">
        <v>2</v>
      </c>
      <c r="G54" s="33" t="n">
        <v>1</v>
      </c>
      <c r="H54" s="33" t="n">
        <v>2</v>
      </c>
      <c r="I54" s="33" t="n">
        <v>5</v>
      </c>
      <c r="J54" s="33" t="n">
        <v>4</v>
      </c>
      <c r="K54" s="33" t="n">
        <v>3</v>
      </c>
      <c r="L54" s="33" t="n">
        <v>5</v>
      </c>
      <c r="M54" s="33" t="n">
        <v>4</v>
      </c>
      <c r="N54" s="33" t="n">
        <v>5</v>
      </c>
      <c r="O54" s="33" t="n">
        <v>3</v>
      </c>
      <c r="P54" s="33" t="n">
        <v>2</v>
      </c>
      <c r="Q54" s="34" t="n">
        <f aca="false">SUM(E54:P54)</f>
        <v>38</v>
      </c>
    </row>
    <row r="55" customFormat="false" ht="26.85" hidden="false" customHeight="false" outlineLevel="0" collapsed="false">
      <c r="A55" s="17" t="n">
        <v>52</v>
      </c>
      <c r="B55" s="9" t="s">
        <v>239</v>
      </c>
      <c r="C55" s="9" t="s">
        <v>19</v>
      </c>
      <c r="D55" s="26" t="s">
        <v>240</v>
      </c>
      <c r="E55" s="33" t="n">
        <v>2</v>
      </c>
      <c r="F55" s="33" t="n">
        <v>3</v>
      </c>
      <c r="G55" s="33" t="n">
        <v>2</v>
      </c>
      <c r="H55" s="33" t="n">
        <v>2</v>
      </c>
      <c r="I55" s="33" t="n">
        <v>4</v>
      </c>
      <c r="J55" s="33" t="n">
        <v>3</v>
      </c>
      <c r="K55" s="33" t="n">
        <v>2</v>
      </c>
      <c r="L55" s="33" t="n">
        <v>5</v>
      </c>
      <c r="M55" s="33" t="n">
        <v>3</v>
      </c>
      <c r="N55" s="33" t="n">
        <v>4</v>
      </c>
      <c r="O55" s="33" t="n">
        <v>2</v>
      </c>
      <c r="P55" s="33" t="n">
        <v>1</v>
      </c>
      <c r="Q55" s="34" t="n">
        <f aca="false">SUM(E55:P55)</f>
        <v>33</v>
      </c>
    </row>
    <row r="56" customFormat="false" ht="26.85" hidden="false" customHeight="false" outlineLevel="0" collapsed="false">
      <c r="A56" s="17" t="n">
        <v>53</v>
      </c>
      <c r="B56" s="9" t="s">
        <v>241</v>
      </c>
      <c r="C56" s="9" t="s">
        <v>19</v>
      </c>
      <c r="D56" s="26" t="s">
        <v>242</v>
      </c>
      <c r="E56" s="33" t="n">
        <v>3</v>
      </c>
      <c r="F56" s="33" t="n">
        <v>3</v>
      </c>
      <c r="G56" s="33" t="n">
        <v>3</v>
      </c>
      <c r="H56" s="33" t="n">
        <v>3</v>
      </c>
      <c r="I56" s="33" t="n">
        <v>3</v>
      </c>
      <c r="J56" s="33" t="n">
        <v>3</v>
      </c>
      <c r="K56" s="33" t="n">
        <v>2</v>
      </c>
      <c r="L56" s="33" t="n">
        <v>3</v>
      </c>
      <c r="M56" s="33" t="n">
        <v>2</v>
      </c>
      <c r="N56" s="33" t="n">
        <v>3</v>
      </c>
      <c r="O56" s="33" t="n">
        <v>2</v>
      </c>
      <c r="P56" s="33" t="n">
        <v>2</v>
      </c>
      <c r="Q56" s="34" t="n">
        <f aca="false">SUM(E56:P56)</f>
        <v>32</v>
      </c>
    </row>
    <row r="57" customFormat="false" ht="15" hidden="false" customHeight="false" outlineLevel="0" collapsed="false">
      <c r="A57" s="17" t="n">
        <v>54</v>
      </c>
      <c r="B57" s="9" t="s">
        <v>243</v>
      </c>
      <c r="C57" s="9" t="s">
        <v>19</v>
      </c>
      <c r="D57" s="26" t="s">
        <v>244</v>
      </c>
      <c r="E57" s="33" t="n">
        <v>2</v>
      </c>
      <c r="F57" s="33" t="n">
        <v>5</v>
      </c>
      <c r="G57" s="33" t="n">
        <v>1</v>
      </c>
      <c r="H57" s="33" t="n">
        <v>2</v>
      </c>
      <c r="I57" s="33" t="n">
        <v>0</v>
      </c>
      <c r="J57" s="33" t="n">
        <v>0</v>
      </c>
      <c r="K57" s="33" t="n">
        <v>0</v>
      </c>
      <c r="L57" s="33" t="n">
        <v>0</v>
      </c>
      <c r="M57" s="33" t="n">
        <v>0</v>
      </c>
      <c r="N57" s="33" t="n">
        <v>0</v>
      </c>
      <c r="O57" s="33" t="n">
        <v>0</v>
      </c>
      <c r="P57" s="33" t="n">
        <v>0</v>
      </c>
      <c r="Q57" s="34" t="n">
        <f aca="false">SUM(E57:P57)</f>
        <v>10</v>
      </c>
    </row>
    <row r="58" customFormat="false" ht="26.85" hidden="false" customHeight="false" outlineLevel="0" collapsed="false">
      <c r="A58" s="17" t="n">
        <v>55</v>
      </c>
      <c r="B58" s="9" t="s">
        <v>245</v>
      </c>
      <c r="C58" s="9" t="s">
        <v>19</v>
      </c>
      <c r="D58" s="26" t="s">
        <v>246</v>
      </c>
      <c r="E58" s="33" t="n">
        <v>2</v>
      </c>
      <c r="F58" s="33" t="n">
        <v>3</v>
      </c>
      <c r="G58" s="33" t="n">
        <v>2</v>
      </c>
      <c r="H58" s="33" t="n">
        <v>3</v>
      </c>
      <c r="I58" s="33" t="n">
        <v>4</v>
      </c>
      <c r="J58" s="33" t="n">
        <v>4</v>
      </c>
      <c r="K58" s="33" t="n">
        <v>3</v>
      </c>
      <c r="L58" s="33" t="n">
        <v>5</v>
      </c>
      <c r="M58" s="33" t="n">
        <v>3</v>
      </c>
      <c r="N58" s="33" t="n">
        <v>4</v>
      </c>
      <c r="O58" s="33" t="n">
        <v>3</v>
      </c>
      <c r="P58" s="33" t="n">
        <v>3</v>
      </c>
      <c r="Q58" s="34" t="n">
        <f aca="false">SUM(E58:P58)</f>
        <v>39</v>
      </c>
    </row>
    <row r="59" customFormat="false" ht="26.85" hidden="false" customHeight="false" outlineLevel="0" collapsed="false">
      <c r="A59" s="17" t="n">
        <v>56</v>
      </c>
      <c r="B59" s="9" t="s">
        <v>247</v>
      </c>
      <c r="C59" s="9" t="s">
        <v>19</v>
      </c>
      <c r="D59" s="26" t="s">
        <v>248</v>
      </c>
      <c r="E59" s="33" t="n">
        <v>1</v>
      </c>
      <c r="F59" s="33" t="n">
        <v>2</v>
      </c>
      <c r="G59" s="33" t="n">
        <v>1</v>
      </c>
      <c r="H59" s="33" t="n">
        <v>2</v>
      </c>
      <c r="I59" s="33" t="n">
        <v>4</v>
      </c>
      <c r="J59" s="33" t="n">
        <v>3</v>
      </c>
      <c r="K59" s="33" t="n">
        <v>3</v>
      </c>
      <c r="L59" s="33" t="n">
        <v>5</v>
      </c>
      <c r="M59" s="33" t="n">
        <v>3</v>
      </c>
      <c r="N59" s="33" t="n">
        <v>4</v>
      </c>
      <c r="O59" s="33" t="n">
        <v>3</v>
      </c>
      <c r="P59" s="33" t="n">
        <v>2</v>
      </c>
      <c r="Q59" s="34" t="n">
        <f aca="false">SUM(E59:P59)</f>
        <v>33</v>
      </c>
    </row>
    <row r="60" customFormat="false" ht="15" hidden="false" customHeight="false" outlineLevel="0" collapsed="false">
      <c r="A60" s="17" t="n">
        <v>57</v>
      </c>
      <c r="B60" s="9" t="s">
        <v>249</v>
      </c>
      <c r="C60" s="9" t="s">
        <v>19</v>
      </c>
      <c r="D60" s="26" t="s">
        <v>250</v>
      </c>
      <c r="E60" s="33" t="n">
        <v>3</v>
      </c>
      <c r="F60" s="33" t="n">
        <v>5</v>
      </c>
      <c r="G60" s="33" t="n">
        <v>2</v>
      </c>
      <c r="H60" s="33" t="n">
        <v>3</v>
      </c>
      <c r="I60" s="33" t="n">
        <v>0</v>
      </c>
      <c r="J60" s="33" t="n">
        <v>0</v>
      </c>
      <c r="K60" s="33" t="n">
        <v>0</v>
      </c>
      <c r="L60" s="33" t="n">
        <v>0</v>
      </c>
      <c r="M60" s="33" t="n">
        <v>0</v>
      </c>
      <c r="N60" s="33" t="n">
        <v>0</v>
      </c>
      <c r="O60" s="33" t="n">
        <v>0</v>
      </c>
      <c r="P60" s="33" t="n">
        <v>0</v>
      </c>
      <c r="Q60" s="34" t="n">
        <f aca="false">SUM(E60:P60)</f>
        <v>13</v>
      </c>
    </row>
    <row r="61" customFormat="false" ht="26.85" hidden="false" customHeight="false" outlineLevel="0" collapsed="false">
      <c r="A61" s="17" t="n">
        <v>58</v>
      </c>
      <c r="B61" s="9" t="s">
        <v>251</v>
      </c>
      <c r="C61" s="9" t="s">
        <v>19</v>
      </c>
      <c r="D61" s="26" t="s">
        <v>252</v>
      </c>
      <c r="E61" s="33" t="n">
        <v>2</v>
      </c>
      <c r="F61" s="33" t="n">
        <v>3</v>
      </c>
      <c r="G61" s="33" t="n">
        <v>1</v>
      </c>
      <c r="H61" s="33" t="n">
        <v>3</v>
      </c>
      <c r="I61" s="33" t="n">
        <v>3</v>
      </c>
      <c r="J61" s="33" t="n">
        <v>2</v>
      </c>
      <c r="K61" s="33" t="n">
        <v>2</v>
      </c>
      <c r="L61" s="33" t="n">
        <v>3</v>
      </c>
      <c r="M61" s="33" t="n">
        <v>2</v>
      </c>
      <c r="N61" s="33" t="n">
        <v>3</v>
      </c>
      <c r="O61" s="33" t="n">
        <v>3</v>
      </c>
      <c r="P61" s="33" t="n">
        <v>1</v>
      </c>
      <c r="Q61" s="34" t="n">
        <f aca="false">SUM(E61:P61)</f>
        <v>28</v>
      </c>
    </row>
    <row r="62" customFormat="false" ht="15" hidden="false" customHeight="false" outlineLevel="0" collapsed="false">
      <c r="A62" s="17" t="n">
        <v>59</v>
      </c>
      <c r="B62" s="9" t="s">
        <v>253</v>
      </c>
      <c r="C62" s="9" t="s">
        <v>20</v>
      </c>
      <c r="D62" s="26" t="s">
        <v>254</v>
      </c>
      <c r="E62" s="33" t="n">
        <v>2</v>
      </c>
      <c r="F62" s="33" t="n">
        <v>2</v>
      </c>
      <c r="G62" s="33" t="n">
        <v>3</v>
      </c>
      <c r="H62" s="33" t="n">
        <v>2</v>
      </c>
      <c r="I62" s="33" t="n">
        <v>4</v>
      </c>
      <c r="J62" s="33" t="n">
        <v>5</v>
      </c>
      <c r="K62" s="33" t="n">
        <v>3</v>
      </c>
      <c r="L62" s="33" t="n">
        <v>4</v>
      </c>
      <c r="M62" s="33" t="n">
        <v>3</v>
      </c>
      <c r="N62" s="33" t="n">
        <v>4</v>
      </c>
      <c r="O62" s="33" t="n">
        <v>4</v>
      </c>
      <c r="P62" s="33" t="n">
        <v>5</v>
      </c>
      <c r="Q62" s="34" t="n">
        <f aca="false">SUM(E62:P62)</f>
        <v>41</v>
      </c>
    </row>
    <row r="63" customFormat="false" ht="26.85" hidden="false" customHeight="false" outlineLevel="0" collapsed="false">
      <c r="A63" s="17" t="n">
        <v>60</v>
      </c>
      <c r="B63" s="9" t="s">
        <v>255</v>
      </c>
      <c r="C63" s="9" t="s">
        <v>20</v>
      </c>
      <c r="D63" s="26" t="s">
        <v>256</v>
      </c>
      <c r="E63" s="33" t="n">
        <v>2</v>
      </c>
      <c r="F63" s="33" t="n">
        <v>3</v>
      </c>
      <c r="G63" s="33" t="n">
        <v>2</v>
      </c>
      <c r="H63" s="33" t="n">
        <v>2</v>
      </c>
      <c r="I63" s="33" t="n">
        <v>4</v>
      </c>
      <c r="J63" s="33" t="n">
        <v>4</v>
      </c>
      <c r="K63" s="33" t="n">
        <v>2</v>
      </c>
      <c r="L63" s="33" t="n">
        <v>5</v>
      </c>
      <c r="M63" s="33" t="n">
        <v>3</v>
      </c>
      <c r="N63" s="33" t="n">
        <v>5</v>
      </c>
      <c r="O63" s="33" t="n">
        <v>2</v>
      </c>
      <c r="P63" s="33" t="n">
        <v>3</v>
      </c>
      <c r="Q63" s="34" t="n">
        <f aca="false">SUM(E63:P63)</f>
        <v>37</v>
      </c>
    </row>
    <row r="64" customFormat="false" ht="26.85" hidden="false" customHeight="false" outlineLevel="0" collapsed="false">
      <c r="A64" s="17" t="n">
        <v>61</v>
      </c>
      <c r="B64" s="9" t="s">
        <v>257</v>
      </c>
      <c r="C64" s="9" t="s">
        <v>20</v>
      </c>
      <c r="D64" s="26" t="s">
        <v>258</v>
      </c>
      <c r="E64" s="33" t="n">
        <v>5</v>
      </c>
      <c r="F64" s="33" t="n">
        <v>4</v>
      </c>
      <c r="G64" s="33" t="n">
        <v>3</v>
      </c>
      <c r="H64" s="33" t="n">
        <v>4</v>
      </c>
      <c r="I64" s="33" t="n">
        <v>2</v>
      </c>
      <c r="J64" s="33" t="n">
        <v>2</v>
      </c>
      <c r="K64" s="33" t="n">
        <v>1</v>
      </c>
      <c r="L64" s="33" t="n">
        <v>1</v>
      </c>
      <c r="M64" s="33" t="n">
        <v>1</v>
      </c>
      <c r="N64" s="33" t="n">
        <v>1</v>
      </c>
      <c r="O64" s="33" t="n">
        <v>1</v>
      </c>
      <c r="P64" s="33" t="n">
        <v>0</v>
      </c>
      <c r="Q64" s="34" t="n">
        <f aca="false">SUM(E64:P64)</f>
        <v>25</v>
      </c>
    </row>
    <row r="65" customFormat="false" ht="26.85" hidden="false" customHeight="false" outlineLevel="0" collapsed="false">
      <c r="A65" s="17" t="n">
        <v>62</v>
      </c>
      <c r="B65" s="9" t="s">
        <v>259</v>
      </c>
      <c r="C65" s="9" t="s">
        <v>20</v>
      </c>
      <c r="D65" s="26" t="s">
        <v>260</v>
      </c>
      <c r="E65" s="33" t="n">
        <v>3</v>
      </c>
      <c r="F65" s="33" t="n">
        <v>3</v>
      </c>
      <c r="G65" s="33" t="n">
        <v>3</v>
      </c>
      <c r="H65" s="33" t="n">
        <v>3</v>
      </c>
      <c r="I65" s="33" t="n">
        <v>3</v>
      </c>
      <c r="J65" s="33" t="n">
        <v>3</v>
      </c>
      <c r="K65" s="33" t="n">
        <v>3</v>
      </c>
      <c r="L65" s="33" t="n">
        <v>3</v>
      </c>
      <c r="M65" s="33" t="n">
        <v>3</v>
      </c>
      <c r="N65" s="33" t="n">
        <v>3</v>
      </c>
      <c r="O65" s="33" t="n">
        <v>3</v>
      </c>
      <c r="P65" s="33" t="n">
        <v>3</v>
      </c>
      <c r="Q65" s="34" t="n">
        <f aca="false">SUM(E65:P65)</f>
        <v>36</v>
      </c>
    </row>
    <row r="66" customFormat="false" ht="26.85" hidden="false" customHeight="false" outlineLevel="0" collapsed="false">
      <c r="A66" s="17" t="n">
        <v>63</v>
      </c>
      <c r="B66" s="9" t="s">
        <v>261</v>
      </c>
      <c r="C66" s="9" t="s">
        <v>20</v>
      </c>
      <c r="D66" s="26" t="s">
        <v>262</v>
      </c>
      <c r="E66" s="33" t="n">
        <v>3</v>
      </c>
      <c r="F66" s="33" t="n">
        <v>3</v>
      </c>
      <c r="G66" s="33" t="n">
        <v>2</v>
      </c>
      <c r="H66" s="33" t="n">
        <v>3</v>
      </c>
      <c r="I66" s="33" t="n">
        <v>3</v>
      </c>
      <c r="J66" s="33" t="n">
        <v>3</v>
      </c>
      <c r="K66" s="33" t="n">
        <v>2</v>
      </c>
      <c r="L66" s="33" t="n">
        <v>3</v>
      </c>
      <c r="M66" s="33" t="n">
        <v>2</v>
      </c>
      <c r="N66" s="33" t="n">
        <v>3</v>
      </c>
      <c r="O66" s="33" t="n">
        <v>2</v>
      </c>
      <c r="P66" s="33" t="n">
        <v>2</v>
      </c>
      <c r="Q66" s="34" t="n">
        <f aca="false">SUM(E66:P66)</f>
        <v>31</v>
      </c>
    </row>
    <row r="67" customFormat="false" ht="15" hidden="false" customHeight="false" outlineLevel="0" collapsed="false">
      <c r="A67" s="17" t="n">
        <v>64</v>
      </c>
      <c r="B67" s="9" t="s">
        <v>263</v>
      </c>
      <c r="C67" s="9" t="s">
        <v>20</v>
      </c>
      <c r="D67" s="26" t="s">
        <v>264</v>
      </c>
      <c r="E67" s="33" t="n">
        <v>1</v>
      </c>
      <c r="F67" s="33" t="n">
        <v>3</v>
      </c>
      <c r="G67" s="33" t="n">
        <v>2</v>
      </c>
      <c r="H67" s="33" t="n">
        <v>3</v>
      </c>
      <c r="I67" s="33" t="n">
        <v>3</v>
      </c>
      <c r="J67" s="33" t="n">
        <v>3</v>
      </c>
      <c r="K67" s="33" t="n">
        <v>2</v>
      </c>
      <c r="L67" s="33" t="n">
        <v>4</v>
      </c>
      <c r="M67" s="33" t="n">
        <v>2</v>
      </c>
      <c r="N67" s="33" t="n">
        <v>3</v>
      </c>
      <c r="O67" s="33" t="n">
        <v>2</v>
      </c>
      <c r="P67" s="33" t="n">
        <v>3</v>
      </c>
      <c r="Q67" s="34" t="n">
        <f aca="false">SUM(E67:P67)</f>
        <v>31</v>
      </c>
    </row>
    <row r="68" customFormat="false" ht="15" hidden="false" customHeight="false" outlineLevel="0" collapsed="false">
      <c r="A68" s="17" t="n">
        <v>65</v>
      </c>
      <c r="B68" s="9" t="s">
        <v>265</v>
      </c>
      <c r="C68" s="9" t="s">
        <v>20</v>
      </c>
      <c r="D68" s="26" t="s">
        <v>266</v>
      </c>
      <c r="E68" s="33" t="n">
        <v>2</v>
      </c>
      <c r="F68" s="33" t="n">
        <v>2</v>
      </c>
      <c r="G68" s="33" t="n">
        <v>2</v>
      </c>
      <c r="H68" s="33" t="n">
        <v>2</v>
      </c>
      <c r="I68" s="33" t="n">
        <v>3</v>
      </c>
      <c r="J68" s="33" t="n">
        <v>3</v>
      </c>
      <c r="K68" s="33" t="n">
        <v>2</v>
      </c>
      <c r="L68" s="33" t="n">
        <v>3</v>
      </c>
      <c r="M68" s="33" t="n">
        <v>2</v>
      </c>
      <c r="N68" s="33" t="n">
        <v>3</v>
      </c>
      <c r="O68" s="33" t="n">
        <v>2</v>
      </c>
      <c r="P68" s="33" t="n">
        <v>3</v>
      </c>
      <c r="Q68" s="34" t="n">
        <f aca="false">SUM(E68:P68)</f>
        <v>29</v>
      </c>
    </row>
    <row r="69" customFormat="false" ht="26.85" hidden="false" customHeight="false" outlineLevel="0" collapsed="false">
      <c r="A69" s="17" t="n">
        <v>66</v>
      </c>
      <c r="B69" s="9" t="s">
        <v>267</v>
      </c>
      <c r="C69" s="9" t="s">
        <v>20</v>
      </c>
      <c r="D69" s="26" t="s">
        <v>268</v>
      </c>
      <c r="E69" s="33" t="n">
        <v>2</v>
      </c>
      <c r="F69" s="33" t="n">
        <v>2</v>
      </c>
      <c r="G69" s="33" t="n">
        <v>2</v>
      </c>
      <c r="H69" s="33" t="n">
        <v>2</v>
      </c>
      <c r="I69" s="33" t="n">
        <v>3</v>
      </c>
      <c r="J69" s="33" t="n">
        <v>3</v>
      </c>
      <c r="K69" s="33" t="n">
        <v>2</v>
      </c>
      <c r="L69" s="33" t="n">
        <v>3</v>
      </c>
      <c r="M69" s="33" t="n">
        <v>2</v>
      </c>
      <c r="N69" s="33" t="n">
        <v>3</v>
      </c>
      <c r="O69" s="33" t="n">
        <v>2</v>
      </c>
      <c r="P69" s="33" t="n">
        <v>3</v>
      </c>
      <c r="Q69" s="34" t="n">
        <f aca="false">SUM(E69:P69)</f>
        <v>29</v>
      </c>
    </row>
    <row r="70" customFormat="false" ht="26.85" hidden="false" customHeight="false" outlineLevel="0" collapsed="false">
      <c r="A70" s="17" t="n">
        <v>67</v>
      </c>
      <c r="B70" s="9" t="s">
        <v>269</v>
      </c>
      <c r="C70" s="9" t="s">
        <v>20</v>
      </c>
      <c r="D70" s="26" t="s">
        <v>270</v>
      </c>
      <c r="E70" s="33" t="n">
        <v>3</v>
      </c>
      <c r="F70" s="33" t="n">
        <v>3</v>
      </c>
      <c r="G70" s="33" t="n">
        <v>3</v>
      </c>
      <c r="H70" s="33" t="n">
        <v>3</v>
      </c>
      <c r="I70" s="33" t="n">
        <v>4</v>
      </c>
      <c r="J70" s="33" t="n">
        <v>4</v>
      </c>
      <c r="K70" s="33" t="n">
        <v>3</v>
      </c>
      <c r="L70" s="33" t="n">
        <v>4</v>
      </c>
      <c r="M70" s="33" t="n">
        <v>4</v>
      </c>
      <c r="N70" s="33" t="n">
        <v>4</v>
      </c>
      <c r="O70" s="33" t="n">
        <v>3</v>
      </c>
      <c r="P70" s="33" t="n">
        <v>3</v>
      </c>
      <c r="Q70" s="34" t="n">
        <f aca="false">SUM(E70:P70)</f>
        <v>41</v>
      </c>
    </row>
    <row r="71" customFormat="false" ht="26.85" hidden="false" customHeight="false" outlineLevel="0" collapsed="false">
      <c r="A71" s="17" t="n">
        <v>68</v>
      </c>
      <c r="B71" s="9" t="s">
        <v>271</v>
      </c>
      <c r="C71" s="9" t="s">
        <v>20</v>
      </c>
      <c r="D71" s="26" t="s">
        <v>272</v>
      </c>
      <c r="E71" s="33" t="n">
        <v>3</v>
      </c>
      <c r="F71" s="33" t="n">
        <v>3</v>
      </c>
      <c r="G71" s="33" t="n">
        <v>2</v>
      </c>
      <c r="H71" s="33" t="n">
        <v>2</v>
      </c>
      <c r="I71" s="33" t="n">
        <v>3</v>
      </c>
      <c r="J71" s="33" t="n">
        <v>3</v>
      </c>
      <c r="K71" s="33" t="n">
        <v>2</v>
      </c>
      <c r="L71" s="33" t="n">
        <v>3</v>
      </c>
      <c r="M71" s="33" t="n">
        <v>2</v>
      </c>
      <c r="N71" s="33" t="n">
        <v>3</v>
      </c>
      <c r="O71" s="33" t="n">
        <v>2</v>
      </c>
      <c r="P71" s="33" t="n">
        <v>2</v>
      </c>
      <c r="Q71" s="34" t="n">
        <f aca="false">SUM(E71:P71)</f>
        <v>30</v>
      </c>
    </row>
    <row r="72" customFormat="false" ht="26.85" hidden="false" customHeight="false" outlineLevel="0" collapsed="false">
      <c r="A72" s="17" t="n">
        <v>69</v>
      </c>
      <c r="B72" s="9" t="s">
        <v>273</v>
      </c>
      <c r="C72" s="9" t="s">
        <v>20</v>
      </c>
      <c r="D72" s="26" t="s">
        <v>274</v>
      </c>
      <c r="E72" s="33" t="n">
        <v>2</v>
      </c>
      <c r="F72" s="33" t="n">
        <v>3</v>
      </c>
      <c r="G72" s="33" t="n">
        <v>2</v>
      </c>
      <c r="H72" s="33" t="n">
        <v>3</v>
      </c>
      <c r="I72" s="33" t="n">
        <v>3</v>
      </c>
      <c r="J72" s="33" t="n">
        <v>3</v>
      </c>
      <c r="K72" s="33" t="n">
        <v>2</v>
      </c>
      <c r="L72" s="33" t="n">
        <v>4</v>
      </c>
      <c r="M72" s="33" t="n">
        <v>2</v>
      </c>
      <c r="N72" s="33" t="n">
        <v>3</v>
      </c>
      <c r="O72" s="33" t="n">
        <v>2</v>
      </c>
      <c r="P72" s="33" t="n">
        <v>3</v>
      </c>
      <c r="Q72" s="34" t="n">
        <f aca="false">SUM(E72:P72)</f>
        <v>32</v>
      </c>
    </row>
    <row r="73" customFormat="false" ht="26.85" hidden="false" customHeight="false" outlineLevel="0" collapsed="false">
      <c r="A73" s="17" t="n">
        <v>70</v>
      </c>
      <c r="B73" s="9" t="s">
        <v>275</v>
      </c>
      <c r="C73" s="9" t="s">
        <v>20</v>
      </c>
      <c r="D73" s="26" t="s">
        <v>276</v>
      </c>
      <c r="E73" s="33" t="n">
        <v>0</v>
      </c>
      <c r="F73" s="33" t="n">
        <v>0</v>
      </c>
      <c r="G73" s="33" t="n">
        <v>0</v>
      </c>
      <c r="H73" s="33" t="n">
        <v>0</v>
      </c>
      <c r="I73" s="33" t="n">
        <v>4</v>
      </c>
      <c r="J73" s="33" t="n">
        <v>5</v>
      </c>
      <c r="K73" s="33" t="n">
        <v>2</v>
      </c>
      <c r="L73" s="33" t="n">
        <v>4</v>
      </c>
      <c r="M73" s="33" t="n">
        <v>0</v>
      </c>
      <c r="N73" s="33" t="n">
        <v>0</v>
      </c>
      <c r="O73" s="33" t="n">
        <v>0</v>
      </c>
      <c r="P73" s="33" t="n">
        <v>0</v>
      </c>
      <c r="Q73" s="34" t="n">
        <f aca="false">SUM(E73:P73)</f>
        <v>15</v>
      </c>
    </row>
    <row r="74" customFormat="false" ht="26.85" hidden="false" customHeight="false" outlineLevel="0" collapsed="false">
      <c r="A74" s="17" t="n">
        <v>71</v>
      </c>
      <c r="B74" s="9" t="s">
        <v>277</v>
      </c>
      <c r="C74" s="9" t="s">
        <v>20</v>
      </c>
      <c r="D74" s="26" t="s">
        <v>278</v>
      </c>
      <c r="E74" s="33" t="n">
        <v>4</v>
      </c>
      <c r="F74" s="33" t="n">
        <v>5</v>
      </c>
      <c r="G74" s="33" t="n">
        <v>3</v>
      </c>
      <c r="H74" s="33" t="n">
        <v>4</v>
      </c>
      <c r="I74" s="33" t="n">
        <v>2</v>
      </c>
      <c r="J74" s="33" t="n">
        <v>1</v>
      </c>
      <c r="K74" s="33" t="n">
        <v>1</v>
      </c>
      <c r="L74" s="33" t="n">
        <v>2</v>
      </c>
      <c r="M74" s="33" t="n">
        <v>1</v>
      </c>
      <c r="N74" s="33" t="n">
        <v>2</v>
      </c>
      <c r="O74" s="33" t="n">
        <v>2</v>
      </c>
      <c r="P74" s="33" t="n">
        <v>1</v>
      </c>
      <c r="Q74" s="34" t="n">
        <f aca="false">SUM(E74:P74)</f>
        <v>28</v>
      </c>
    </row>
    <row r="75" customFormat="false" ht="26.85" hidden="false" customHeight="false" outlineLevel="0" collapsed="false">
      <c r="A75" s="17" t="n">
        <v>72</v>
      </c>
      <c r="B75" s="9" t="s">
        <v>279</v>
      </c>
      <c r="C75" s="9" t="s">
        <v>21</v>
      </c>
      <c r="D75" s="26" t="s">
        <v>280</v>
      </c>
      <c r="E75" s="33" t="n">
        <v>2</v>
      </c>
      <c r="F75" s="33" t="n">
        <v>4</v>
      </c>
      <c r="G75" s="33" t="n">
        <v>3</v>
      </c>
      <c r="H75" s="33" t="n">
        <v>4</v>
      </c>
      <c r="I75" s="33" t="n">
        <v>4</v>
      </c>
      <c r="J75" s="33" t="n">
        <v>4</v>
      </c>
      <c r="K75" s="33" t="n">
        <v>3</v>
      </c>
      <c r="L75" s="33" t="n">
        <v>5</v>
      </c>
      <c r="M75" s="33" t="n">
        <v>3</v>
      </c>
      <c r="N75" s="33" t="n">
        <v>4</v>
      </c>
      <c r="O75" s="33" t="n">
        <v>3</v>
      </c>
      <c r="P75" s="33" t="n">
        <v>4</v>
      </c>
      <c r="Q75" s="34" t="n">
        <f aca="false">SUM(E75:P75)</f>
        <v>43</v>
      </c>
    </row>
    <row r="76" customFormat="false" ht="15" hidden="false" customHeight="false" outlineLevel="0" collapsed="false">
      <c r="A76" s="17" t="n">
        <v>73</v>
      </c>
      <c r="B76" s="9" t="s">
        <v>281</v>
      </c>
      <c r="C76" s="9" t="s">
        <v>21</v>
      </c>
      <c r="D76" s="26" t="s">
        <v>282</v>
      </c>
      <c r="E76" s="33" t="n">
        <v>1</v>
      </c>
      <c r="F76" s="33" t="n">
        <v>3</v>
      </c>
      <c r="G76" s="33" t="n">
        <v>4</v>
      </c>
      <c r="H76" s="33" t="n">
        <v>2</v>
      </c>
      <c r="I76" s="33" t="n">
        <v>3</v>
      </c>
      <c r="J76" s="33" t="n">
        <v>3</v>
      </c>
      <c r="K76" s="33" t="n">
        <v>2</v>
      </c>
      <c r="L76" s="33" t="n">
        <v>4</v>
      </c>
      <c r="M76" s="33" t="n">
        <v>3</v>
      </c>
      <c r="N76" s="33" t="n">
        <v>3</v>
      </c>
      <c r="O76" s="33" t="n">
        <v>3</v>
      </c>
      <c r="P76" s="33" t="n">
        <v>2</v>
      </c>
      <c r="Q76" s="34" t="n">
        <f aca="false">SUM(E76:P76)</f>
        <v>33</v>
      </c>
    </row>
    <row r="77" customFormat="false" ht="26.85" hidden="false" customHeight="false" outlineLevel="0" collapsed="false">
      <c r="A77" s="17" t="n">
        <v>74</v>
      </c>
      <c r="B77" s="9" t="s">
        <v>283</v>
      </c>
      <c r="C77" s="9" t="s">
        <v>21</v>
      </c>
      <c r="D77" s="26" t="s">
        <v>284</v>
      </c>
      <c r="E77" s="33" t="n">
        <v>2</v>
      </c>
      <c r="F77" s="33" t="n">
        <v>2</v>
      </c>
      <c r="G77" s="33" t="n">
        <v>2</v>
      </c>
      <c r="H77" s="33" t="n">
        <v>2</v>
      </c>
      <c r="I77" s="33" t="n">
        <v>3</v>
      </c>
      <c r="J77" s="33" t="n">
        <v>3</v>
      </c>
      <c r="K77" s="33" t="n">
        <v>2</v>
      </c>
      <c r="L77" s="33" t="n">
        <v>3</v>
      </c>
      <c r="M77" s="33" t="n">
        <v>2</v>
      </c>
      <c r="N77" s="33" t="n">
        <v>2</v>
      </c>
      <c r="O77" s="33" t="n">
        <v>2</v>
      </c>
      <c r="P77" s="33" t="n">
        <v>3</v>
      </c>
      <c r="Q77" s="34" t="n">
        <f aca="false">SUM(E77:P77)</f>
        <v>28</v>
      </c>
    </row>
    <row r="78" customFormat="false" ht="15" hidden="false" customHeight="false" outlineLevel="0" collapsed="false">
      <c r="A78" s="17" t="n">
        <v>75</v>
      </c>
      <c r="B78" s="9" t="s">
        <v>285</v>
      </c>
      <c r="C78" s="9" t="s">
        <v>21</v>
      </c>
      <c r="D78" s="26" t="s">
        <v>286</v>
      </c>
      <c r="E78" s="33" t="n">
        <v>3</v>
      </c>
      <c r="F78" s="33" t="n">
        <v>2</v>
      </c>
      <c r="G78" s="33" t="n">
        <v>3</v>
      </c>
      <c r="H78" s="33" t="n">
        <v>2</v>
      </c>
      <c r="I78" s="33" t="n">
        <v>3</v>
      </c>
      <c r="J78" s="33" t="n">
        <v>3</v>
      </c>
      <c r="K78" s="33" t="n">
        <v>2</v>
      </c>
      <c r="L78" s="33" t="n">
        <v>3</v>
      </c>
      <c r="M78" s="33" t="n">
        <v>2</v>
      </c>
      <c r="N78" s="33" t="n">
        <v>2</v>
      </c>
      <c r="O78" s="33" t="n">
        <v>2</v>
      </c>
      <c r="P78" s="33" t="n">
        <v>3</v>
      </c>
      <c r="Q78" s="34" t="n">
        <f aca="false">SUM(E78:P78)</f>
        <v>30</v>
      </c>
    </row>
    <row r="79" customFormat="false" ht="26.85" hidden="false" customHeight="false" outlineLevel="0" collapsed="false">
      <c r="A79" s="17" t="n">
        <v>76</v>
      </c>
      <c r="B79" s="9" t="s">
        <v>287</v>
      </c>
      <c r="C79" s="9" t="s">
        <v>21</v>
      </c>
      <c r="D79" s="26" t="s">
        <v>288</v>
      </c>
      <c r="E79" s="33" t="n">
        <v>0</v>
      </c>
      <c r="F79" s="33" t="n">
        <v>0</v>
      </c>
      <c r="G79" s="33" t="n">
        <v>0</v>
      </c>
      <c r="H79" s="33" t="n">
        <v>0</v>
      </c>
      <c r="I79" s="33" t="n">
        <v>0</v>
      </c>
      <c r="J79" s="33" t="n">
        <v>0</v>
      </c>
      <c r="K79" s="33" t="n">
        <v>0</v>
      </c>
      <c r="L79" s="33" t="n">
        <v>0</v>
      </c>
      <c r="M79" s="33" t="n">
        <v>0</v>
      </c>
      <c r="N79" s="33" t="n">
        <v>0</v>
      </c>
      <c r="O79" s="33" t="n">
        <v>0</v>
      </c>
      <c r="P79" s="33" t="n">
        <v>5</v>
      </c>
      <c r="Q79" s="34" t="n">
        <f aca="false">SUM(E79:P79)</f>
        <v>5</v>
      </c>
    </row>
    <row r="80" customFormat="false" ht="26.85" hidden="false" customHeight="false" outlineLevel="0" collapsed="false">
      <c r="A80" s="17" t="n">
        <v>77</v>
      </c>
      <c r="B80" s="9" t="s">
        <v>289</v>
      </c>
      <c r="C80" s="9" t="s">
        <v>21</v>
      </c>
      <c r="D80" s="26" t="s">
        <v>290</v>
      </c>
      <c r="E80" s="33" t="n">
        <v>3</v>
      </c>
      <c r="F80" s="33" t="n">
        <v>3</v>
      </c>
      <c r="G80" s="33" t="n">
        <v>3</v>
      </c>
      <c r="H80" s="33" t="n">
        <v>3</v>
      </c>
      <c r="I80" s="33" t="n">
        <v>3</v>
      </c>
      <c r="J80" s="33" t="n">
        <v>3</v>
      </c>
      <c r="K80" s="33" t="n">
        <v>2</v>
      </c>
      <c r="L80" s="33" t="n">
        <v>3</v>
      </c>
      <c r="M80" s="33" t="n">
        <v>3</v>
      </c>
      <c r="N80" s="33" t="n">
        <v>3</v>
      </c>
      <c r="O80" s="33" t="n">
        <v>2</v>
      </c>
      <c r="P80" s="33" t="n">
        <v>3</v>
      </c>
      <c r="Q80" s="34" t="n">
        <f aca="false">SUM(E80:P80)</f>
        <v>34</v>
      </c>
    </row>
    <row r="81" customFormat="false" ht="26.85" hidden="false" customHeight="false" outlineLevel="0" collapsed="false">
      <c r="A81" s="17" t="n">
        <v>78</v>
      </c>
      <c r="B81" s="9" t="s">
        <v>291</v>
      </c>
      <c r="C81" s="9" t="s">
        <v>21</v>
      </c>
      <c r="D81" s="26" t="s">
        <v>292</v>
      </c>
      <c r="E81" s="33" t="n">
        <v>2</v>
      </c>
      <c r="F81" s="33" t="n">
        <v>2</v>
      </c>
      <c r="G81" s="33" t="n">
        <v>2</v>
      </c>
      <c r="H81" s="33" t="n">
        <v>2</v>
      </c>
      <c r="I81" s="33" t="n">
        <v>3</v>
      </c>
      <c r="J81" s="33" t="n">
        <v>3</v>
      </c>
      <c r="K81" s="33" t="n">
        <v>3</v>
      </c>
      <c r="L81" s="33" t="n">
        <v>3</v>
      </c>
      <c r="M81" s="33" t="n">
        <v>3</v>
      </c>
      <c r="N81" s="33" t="n">
        <v>3</v>
      </c>
      <c r="O81" s="33" t="n">
        <v>3</v>
      </c>
      <c r="P81" s="33" t="n">
        <v>3</v>
      </c>
      <c r="Q81" s="34" t="n">
        <f aca="false">SUM(E81:P81)</f>
        <v>32</v>
      </c>
    </row>
    <row r="82" customFormat="false" ht="26.85" hidden="false" customHeight="false" outlineLevel="0" collapsed="false">
      <c r="A82" s="17" t="n">
        <v>79</v>
      </c>
      <c r="B82" s="9" t="s">
        <v>293</v>
      </c>
      <c r="C82" s="9" t="s">
        <v>21</v>
      </c>
      <c r="D82" s="26" t="s">
        <v>294</v>
      </c>
      <c r="E82" s="33" t="n">
        <v>1</v>
      </c>
      <c r="F82" s="33" t="n">
        <v>1</v>
      </c>
      <c r="G82" s="33" t="n">
        <v>0</v>
      </c>
      <c r="H82" s="33" t="n">
        <v>0</v>
      </c>
      <c r="I82" s="33" t="n">
        <v>4</v>
      </c>
      <c r="J82" s="33" t="n">
        <v>5</v>
      </c>
      <c r="K82" s="33" t="n">
        <v>0</v>
      </c>
      <c r="L82" s="33" t="n">
        <v>4</v>
      </c>
      <c r="M82" s="33" t="n">
        <v>0</v>
      </c>
      <c r="N82" s="33" t="n">
        <v>0</v>
      </c>
      <c r="O82" s="33" t="n">
        <v>0</v>
      </c>
      <c r="P82" s="33" t="n">
        <v>0</v>
      </c>
      <c r="Q82" s="34" t="n">
        <f aca="false">SUM(E82:P82)</f>
        <v>15</v>
      </c>
    </row>
    <row r="83" customFormat="false" ht="26.85" hidden="false" customHeight="false" outlineLevel="0" collapsed="false">
      <c r="A83" s="17" t="n">
        <v>80</v>
      </c>
      <c r="B83" s="9" t="s">
        <v>295</v>
      </c>
      <c r="C83" s="9" t="s">
        <v>21</v>
      </c>
      <c r="D83" s="26" t="s">
        <v>296</v>
      </c>
      <c r="E83" s="33" t="n">
        <v>2</v>
      </c>
      <c r="F83" s="33" t="n">
        <v>2</v>
      </c>
      <c r="G83" s="33" t="n">
        <v>2</v>
      </c>
      <c r="H83" s="33" t="n">
        <v>2</v>
      </c>
      <c r="I83" s="33" t="n">
        <v>3</v>
      </c>
      <c r="J83" s="33" t="n">
        <v>3</v>
      </c>
      <c r="K83" s="33" t="n">
        <v>3</v>
      </c>
      <c r="L83" s="33" t="n">
        <v>3</v>
      </c>
      <c r="M83" s="33" t="n">
        <v>3</v>
      </c>
      <c r="N83" s="33" t="n">
        <v>3</v>
      </c>
      <c r="O83" s="33" t="n">
        <v>3</v>
      </c>
      <c r="P83" s="33" t="n">
        <v>3</v>
      </c>
      <c r="Q83" s="34" t="n">
        <f aca="false">SUM(E83:P83)</f>
        <v>32</v>
      </c>
    </row>
    <row r="84" customFormat="false" ht="26.85" hidden="false" customHeight="false" outlineLevel="0" collapsed="false">
      <c r="A84" s="17" t="n">
        <v>81</v>
      </c>
      <c r="B84" s="9" t="s">
        <v>297</v>
      </c>
      <c r="C84" s="9" t="s">
        <v>21</v>
      </c>
      <c r="D84" s="26" t="s">
        <v>298</v>
      </c>
      <c r="E84" s="33" t="n">
        <v>2</v>
      </c>
      <c r="F84" s="33" t="n">
        <v>3</v>
      </c>
      <c r="G84" s="33" t="n">
        <v>3</v>
      </c>
      <c r="H84" s="33" t="n">
        <v>2</v>
      </c>
      <c r="I84" s="33" t="n">
        <v>4</v>
      </c>
      <c r="J84" s="33" t="n">
        <v>4</v>
      </c>
      <c r="K84" s="33" t="n">
        <v>2</v>
      </c>
      <c r="L84" s="33" t="n">
        <v>4</v>
      </c>
      <c r="M84" s="33" t="n">
        <v>3</v>
      </c>
      <c r="N84" s="33" t="n">
        <v>4</v>
      </c>
      <c r="O84" s="33" t="n">
        <v>3</v>
      </c>
      <c r="P84" s="33" t="n">
        <v>2</v>
      </c>
      <c r="Q84" s="34" t="n">
        <f aca="false">SUM(E84:P84)</f>
        <v>36</v>
      </c>
    </row>
    <row r="85" customFormat="false" ht="26.85" hidden="false" customHeight="false" outlineLevel="0" collapsed="false">
      <c r="A85" s="17" t="n">
        <v>82</v>
      </c>
      <c r="B85" s="9" t="s">
        <v>299</v>
      </c>
      <c r="C85" s="9" t="s">
        <v>21</v>
      </c>
      <c r="D85" s="26" t="s">
        <v>300</v>
      </c>
      <c r="E85" s="33" t="n">
        <v>2</v>
      </c>
      <c r="F85" s="33" t="n">
        <v>2</v>
      </c>
      <c r="G85" s="33" t="n">
        <v>2</v>
      </c>
      <c r="H85" s="33" t="n">
        <v>2</v>
      </c>
      <c r="I85" s="33" t="n">
        <v>3</v>
      </c>
      <c r="J85" s="33" t="n">
        <v>3</v>
      </c>
      <c r="K85" s="33" t="n">
        <v>2</v>
      </c>
      <c r="L85" s="33" t="n">
        <v>3</v>
      </c>
      <c r="M85" s="33" t="n">
        <v>2</v>
      </c>
      <c r="N85" s="33" t="n">
        <v>3</v>
      </c>
      <c r="O85" s="33" t="n">
        <v>2</v>
      </c>
      <c r="P85" s="33" t="n">
        <v>3</v>
      </c>
      <c r="Q85" s="34" t="n">
        <f aca="false">SUM(E85:P85)</f>
        <v>29</v>
      </c>
    </row>
    <row r="86" customFormat="false" ht="15" hidden="false" customHeight="false" outlineLevel="0" collapsed="false">
      <c r="A86" s="17" t="n">
        <v>83</v>
      </c>
      <c r="B86" s="9" t="s">
        <v>301</v>
      </c>
      <c r="C86" s="9" t="s">
        <v>22</v>
      </c>
      <c r="D86" s="26" t="s">
        <v>302</v>
      </c>
      <c r="E86" s="33" t="n">
        <v>0</v>
      </c>
      <c r="F86" s="33" t="n">
        <v>0</v>
      </c>
      <c r="G86" s="33" t="n">
        <v>0</v>
      </c>
      <c r="H86" s="33" t="n">
        <v>0</v>
      </c>
      <c r="I86" s="33" t="n">
        <v>4</v>
      </c>
      <c r="J86" s="33" t="n">
        <v>3</v>
      </c>
      <c r="K86" s="33" t="n">
        <v>3</v>
      </c>
      <c r="L86" s="33" t="n">
        <v>4</v>
      </c>
      <c r="M86" s="33" t="n">
        <v>3</v>
      </c>
      <c r="N86" s="33" t="n">
        <v>3</v>
      </c>
      <c r="O86" s="33" t="n">
        <v>4</v>
      </c>
      <c r="P86" s="33" t="n">
        <v>3</v>
      </c>
      <c r="Q86" s="34" t="n">
        <f aca="false">SUM(E86:P86)</f>
        <v>27</v>
      </c>
    </row>
    <row r="87" customFormat="false" ht="15" hidden="false" customHeight="false" outlineLevel="0" collapsed="false">
      <c r="A87" s="17" t="n">
        <v>84</v>
      </c>
      <c r="B87" s="9" t="s">
        <v>303</v>
      </c>
      <c r="C87" s="9" t="s">
        <v>22</v>
      </c>
      <c r="D87" s="26" t="s">
        <v>304</v>
      </c>
      <c r="E87" s="33" t="n">
        <v>3</v>
      </c>
      <c r="F87" s="33" t="n">
        <v>5</v>
      </c>
      <c r="G87" s="33" t="n">
        <v>3</v>
      </c>
      <c r="H87" s="33" t="n">
        <v>4</v>
      </c>
      <c r="I87" s="33" t="n">
        <v>1</v>
      </c>
      <c r="J87" s="33" t="n">
        <v>1</v>
      </c>
      <c r="K87" s="33" t="n">
        <v>0</v>
      </c>
      <c r="L87" s="33" t="n">
        <v>1</v>
      </c>
      <c r="M87" s="33" t="n">
        <v>0</v>
      </c>
      <c r="N87" s="33" t="n">
        <v>0</v>
      </c>
      <c r="O87" s="33" t="n">
        <v>0</v>
      </c>
      <c r="P87" s="33" t="n">
        <v>0</v>
      </c>
      <c r="Q87" s="34" t="n">
        <f aca="false">SUM(E87:P87)</f>
        <v>18</v>
      </c>
    </row>
    <row r="88" customFormat="false" ht="26.85" hidden="false" customHeight="false" outlineLevel="0" collapsed="false">
      <c r="A88" s="17" t="n">
        <v>85</v>
      </c>
      <c r="B88" s="9" t="s">
        <v>305</v>
      </c>
      <c r="C88" s="9" t="s">
        <v>22</v>
      </c>
      <c r="D88" s="26" t="s">
        <v>306</v>
      </c>
      <c r="E88" s="33" t="n">
        <v>2</v>
      </c>
      <c r="F88" s="33" t="n">
        <v>3</v>
      </c>
      <c r="G88" s="33" t="n">
        <v>2</v>
      </c>
      <c r="H88" s="33" t="n">
        <v>2</v>
      </c>
      <c r="I88" s="33" t="n">
        <v>4</v>
      </c>
      <c r="J88" s="33" t="n">
        <v>3</v>
      </c>
      <c r="K88" s="33" t="n">
        <v>3</v>
      </c>
      <c r="L88" s="33" t="n">
        <v>4</v>
      </c>
      <c r="M88" s="33" t="n">
        <v>3</v>
      </c>
      <c r="N88" s="33" t="n">
        <v>4</v>
      </c>
      <c r="O88" s="33" t="n">
        <v>2</v>
      </c>
      <c r="P88" s="33" t="n">
        <v>2</v>
      </c>
      <c r="Q88" s="34" t="n">
        <f aca="false">SUM(E88:P88)</f>
        <v>34</v>
      </c>
    </row>
    <row r="89" customFormat="false" ht="15" hidden="false" customHeight="false" outlineLevel="0" collapsed="false">
      <c r="A89" s="17" t="n">
        <v>86</v>
      </c>
      <c r="B89" s="9" t="s">
        <v>307</v>
      </c>
      <c r="C89" s="9" t="s">
        <v>22</v>
      </c>
      <c r="D89" s="26" t="s">
        <v>308</v>
      </c>
      <c r="E89" s="33" t="n">
        <v>3</v>
      </c>
      <c r="F89" s="33" t="n">
        <v>5</v>
      </c>
      <c r="G89" s="33" t="n">
        <v>3</v>
      </c>
      <c r="H89" s="33" t="n">
        <v>2</v>
      </c>
      <c r="I89" s="33" t="n">
        <v>0</v>
      </c>
      <c r="J89" s="33" t="n">
        <v>0</v>
      </c>
      <c r="K89" s="33" t="n">
        <v>0</v>
      </c>
      <c r="L89" s="33" t="n">
        <v>0</v>
      </c>
      <c r="M89" s="33" t="n">
        <v>0</v>
      </c>
      <c r="N89" s="33" t="n">
        <v>0</v>
      </c>
      <c r="O89" s="33" t="n">
        <v>0</v>
      </c>
      <c r="P89" s="33" t="n">
        <v>0</v>
      </c>
      <c r="Q89" s="34" t="n">
        <f aca="false">SUM(E89:P89)</f>
        <v>13</v>
      </c>
    </row>
    <row r="90" customFormat="false" ht="15" hidden="false" customHeight="false" outlineLevel="0" collapsed="false">
      <c r="A90" s="17" t="n">
        <v>87</v>
      </c>
      <c r="B90" s="9" t="s">
        <v>309</v>
      </c>
      <c r="C90" s="9" t="s">
        <v>22</v>
      </c>
      <c r="D90" s="26" t="s">
        <v>310</v>
      </c>
      <c r="E90" s="33" t="n">
        <v>2</v>
      </c>
      <c r="F90" s="33" t="n">
        <v>2</v>
      </c>
      <c r="G90" s="33" t="n">
        <v>2</v>
      </c>
      <c r="H90" s="33" t="n">
        <v>3</v>
      </c>
      <c r="I90" s="33" t="n">
        <v>2</v>
      </c>
      <c r="J90" s="33" t="n">
        <v>1</v>
      </c>
      <c r="K90" s="33" t="n">
        <v>1</v>
      </c>
      <c r="L90" s="33" t="n">
        <v>2</v>
      </c>
      <c r="M90" s="33" t="n">
        <v>1</v>
      </c>
      <c r="N90" s="33" t="n">
        <v>1</v>
      </c>
      <c r="O90" s="33" t="n">
        <v>1</v>
      </c>
      <c r="P90" s="33" t="n">
        <v>0</v>
      </c>
      <c r="Q90" s="34" t="n">
        <f aca="false">SUM(E90:P90)</f>
        <v>18</v>
      </c>
    </row>
    <row r="91" customFormat="false" ht="26.85" hidden="false" customHeight="false" outlineLevel="0" collapsed="false">
      <c r="A91" s="17" t="n">
        <v>88</v>
      </c>
      <c r="B91" s="9" t="s">
        <v>311</v>
      </c>
      <c r="C91" s="9" t="s">
        <v>22</v>
      </c>
      <c r="D91" s="26" t="s">
        <v>312</v>
      </c>
      <c r="E91" s="33" t="n">
        <v>3</v>
      </c>
      <c r="F91" s="33" t="n">
        <v>4</v>
      </c>
      <c r="G91" s="33" t="n">
        <v>2</v>
      </c>
      <c r="H91" s="33" t="n">
        <v>4</v>
      </c>
      <c r="I91" s="33" t="n">
        <v>3</v>
      </c>
      <c r="J91" s="33" t="n">
        <v>3</v>
      </c>
      <c r="K91" s="33" t="n">
        <v>3</v>
      </c>
      <c r="L91" s="33" t="n">
        <v>4</v>
      </c>
      <c r="M91" s="33" t="n">
        <v>2</v>
      </c>
      <c r="N91" s="33" t="n">
        <v>2</v>
      </c>
      <c r="O91" s="33" t="n">
        <v>2</v>
      </c>
      <c r="P91" s="33" t="n">
        <v>2</v>
      </c>
      <c r="Q91" s="34" t="n">
        <f aca="false">SUM(E91:P91)</f>
        <v>34</v>
      </c>
    </row>
    <row r="92" customFormat="false" ht="15" hidden="false" customHeight="false" outlineLevel="0" collapsed="false">
      <c r="A92" s="17" t="n">
        <v>89</v>
      </c>
      <c r="B92" s="9" t="s">
        <v>313</v>
      </c>
      <c r="C92" s="9" t="s">
        <v>22</v>
      </c>
      <c r="D92" s="26" t="s">
        <v>314</v>
      </c>
      <c r="E92" s="33" t="n">
        <v>5</v>
      </c>
      <c r="F92" s="33" t="n">
        <v>4</v>
      </c>
      <c r="G92" s="33" t="n">
        <v>3</v>
      </c>
      <c r="H92" s="33" t="n">
        <v>3</v>
      </c>
      <c r="I92" s="33" t="n">
        <v>0</v>
      </c>
      <c r="J92" s="33" t="n">
        <v>0</v>
      </c>
      <c r="K92" s="33" t="n">
        <v>0</v>
      </c>
      <c r="L92" s="33" t="n">
        <v>0</v>
      </c>
      <c r="M92" s="33" t="n">
        <v>0</v>
      </c>
      <c r="N92" s="33" t="n">
        <v>0</v>
      </c>
      <c r="O92" s="33" t="n">
        <v>0</v>
      </c>
      <c r="P92" s="33" t="n">
        <v>0</v>
      </c>
      <c r="Q92" s="34" t="n">
        <f aca="false">SUM(E92:P92)</f>
        <v>15</v>
      </c>
    </row>
    <row r="93" customFormat="false" ht="26.85" hidden="false" customHeight="false" outlineLevel="0" collapsed="false">
      <c r="A93" s="17" t="n">
        <v>90</v>
      </c>
      <c r="B93" s="9" t="s">
        <v>315</v>
      </c>
      <c r="C93" s="9" t="s">
        <v>22</v>
      </c>
      <c r="D93" s="26" t="s">
        <v>316</v>
      </c>
      <c r="E93" s="33" t="n">
        <v>3</v>
      </c>
      <c r="F93" s="33" t="n">
        <v>5</v>
      </c>
      <c r="G93" s="33" t="n">
        <v>4</v>
      </c>
      <c r="H93" s="33" t="n">
        <v>2</v>
      </c>
      <c r="I93" s="33" t="n">
        <v>0</v>
      </c>
      <c r="J93" s="33" t="n">
        <v>0</v>
      </c>
      <c r="K93" s="33" t="n">
        <v>0</v>
      </c>
      <c r="L93" s="33" t="n">
        <v>0</v>
      </c>
      <c r="M93" s="33" t="n">
        <v>0</v>
      </c>
      <c r="N93" s="33" t="n">
        <v>0</v>
      </c>
      <c r="O93" s="33" t="n">
        <v>0</v>
      </c>
      <c r="P93" s="33" t="n">
        <v>0</v>
      </c>
      <c r="Q93" s="34" t="n">
        <f aca="false">SUM(E93:P93)</f>
        <v>14</v>
      </c>
    </row>
    <row r="94" customFormat="false" ht="26.85" hidden="false" customHeight="false" outlineLevel="0" collapsed="false">
      <c r="A94" s="17" t="n">
        <v>91</v>
      </c>
      <c r="B94" s="9" t="s">
        <v>317</v>
      </c>
      <c r="C94" s="9" t="s">
        <v>22</v>
      </c>
      <c r="D94" s="26" t="s">
        <v>318</v>
      </c>
      <c r="E94" s="33" t="n">
        <v>3</v>
      </c>
      <c r="F94" s="33" t="n">
        <v>4</v>
      </c>
      <c r="G94" s="33" t="n">
        <v>2</v>
      </c>
      <c r="H94" s="33" t="n">
        <v>4</v>
      </c>
      <c r="I94" s="33" t="n">
        <v>3</v>
      </c>
      <c r="J94" s="33" t="n">
        <v>3</v>
      </c>
      <c r="K94" s="33" t="n">
        <v>2</v>
      </c>
      <c r="L94" s="33" t="n">
        <v>4</v>
      </c>
      <c r="M94" s="33" t="n">
        <v>2</v>
      </c>
      <c r="N94" s="33" t="n">
        <v>1</v>
      </c>
      <c r="O94" s="33" t="n">
        <v>2</v>
      </c>
      <c r="P94" s="33" t="n">
        <v>3</v>
      </c>
      <c r="Q94" s="34" t="n">
        <f aca="false">SUM(E94:P94)</f>
        <v>33</v>
      </c>
    </row>
    <row r="95" customFormat="false" ht="15" hidden="false" customHeight="false" outlineLevel="0" collapsed="false">
      <c r="A95" s="17" t="n">
        <v>92</v>
      </c>
      <c r="B95" s="9" t="s">
        <v>319</v>
      </c>
      <c r="C95" s="9" t="s">
        <v>22</v>
      </c>
      <c r="D95" s="26" t="s">
        <v>320</v>
      </c>
      <c r="E95" s="33" t="n">
        <v>2</v>
      </c>
      <c r="F95" s="33" t="n">
        <v>3</v>
      </c>
      <c r="G95" s="33" t="n">
        <v>2</v>
      </c>
      <c r="H95" s="33" t="n">
        <v>2</v>
      </c>
      <c r="I95" s="33" t="n">
        <v>4</v>
      </c>
      <c r="J95" s="33" t="n">
        <v>3</v>
      </c>
      <c r="K95" s="33" t="n">
        <v>2</v>
      </c>
      <c r="L95" s="33" t="n">
        <v>5</v>
      </c>
      <c r="M95" s="33" t="n">
        <v>3</v>
      </c>
      <c r="N95" s="33" t="n">
        <v>4</v>
      </c>
      <c r="O95" s="33" t="n">
        <v>2</v>
      </c>
      <c r="P95" s="33" t="n">
        <v>1</v>
      </c>
      <c r="Q95" s="34" t="n">
        <f aca="false">SUM(E95:P95)</f>
        <v>33</v>
      </c>
    </row>
    <row r="96" customFormat="false" ht="26.85" hidden="false" customHeight="false" outlineLevel="0" collapsed="false">
      <c r="A96" s="17" t="n">
        <v>93</v>
      </c>
      <c r="B96" s="9" t="s">
        <v>321</v>
      </c>
      <c r="C96" s="9" t="s">
        <v>22</v>
      </c>
      <c r="D96" s="26" t="s">
        <v>322</v>
      </c>
      <c r="E96" s="33" t="n">
        <v>5</v>
      </c>
      <c r="F96" s="33" t="n">
        <v>4</v>
      </c>
      <c r="G96" s="33" t="n">
        <v>3</v>
      </c>
      <c r="H96" s="33" t="n">
        <v>2</v>
      </c>
      <c r="I96" s="33" t="n">
        <v>0</v>
      </c>
      <c r="J96" s="33" t="n">
        <v>0</v>
      </c>
      <c r="K96" s="33" t="n">
        <v>0</v>
      </c>
      <c r="L96" s="33" t="n">
        <v>0</v>
      </c>
      <c r="M96" s="33" t="n">
        <v>0</v>
      </c>
      <c r="N96" s="33" t="n">
        <v>0</v>
      </c>
      <c r="O96" s="33" t="n">
        <v>0</v>
      </c>
      <c r="P96" s="33" t="n">
        <v>0</v>
      </c>
      <c r="Q96" s="34" t="n">
        <f aca="false">SUM(E96:P96)</f>
        <v>14</v>
      </c>
    </row>
    <row r="97" customFormat="false" ht="26.85" hidden="false" customHeight="false" outlineLevel="0" collapsed="false">
      <c r="A97" s="17" t="n">
        <v>94</v>
      </c>
      <c r="B97" s="9" t="s">
        <v>323</v>
      </c>
      <c r="C97" s="9" t="s">
        <v>22</v>
      </c>
      <c r="D97" s="26" t="s">
        <v>324</v>
      </c>
      <c r="E97" s="33" t="n">
        <v>4</v>
      </c>
      <c r="F97" s="33" t="n">
        <v>5</v>
      </c>
      <c r="G97" s="33" t="n">
        <v>4</v>
      </c>
      <c r="H97" s="33" t="n">
        <v>2</v>
      </c>
      <c r="I97" s="33" t="n">
        <v>0</v>
      </c>
      <c r="J97" s="33" t="n">
        <v>0</v>
      </c>
      <c r="K97" s="33" t="n">
        <v>0</v>
      </c>
      <c r="L97" s="33" t="n">
        <v>0</v>
      </c>
      <c r="M97" s="33" t="n">
        <v>0</v>
      </c>
      <c r="N97" s="33" t="n">
        <v>0</v>
      </c>
      <c r="O97" s="33" t="n">
        <v>0</v>
      </c>
      <c r="P97" s="33" t="n">
        <v>0</v>
      </c>
      <c r="Q97" s="34" t="n">
        <f aca="false">SUM(E97:P97)</f>
        <v>15</v>
      </c>
    </row>
    <row r="98" customFormat="false" ht="26.85" hidden="false" customHeight="false" outlineLevel="0" collapsed="false">
      <c r="A98" s="17" t="n">
        <v>95</v>
      </c>
      <c r="B98" s="9" t="s">
        <v>325</v>
      </c>
      <c r="C98" s="9" t="s">
        <v>22</v>
      </c>
      <c r="D98" s="26" t="s">
        <v>326</v>
      </c>
      <c r="E98" s="33" t="n">
        <v>3</v>
      </c>
      <c r="F98" s="33" t="n">
        <v>3</v>
      </c>
      <c r="G98" s="33" t="n">
        <v>2</v>
      </c>
      <c r="H98" s="33" t="n">
        <v>2</v>
      </c>
      <c r="I98" s="33" t="n">
        <v>4</v>
      </c>
      <c r="J98" s="33" t="n">
        <v>3</v>
      </c>
      <c r="K98" s="33" t="n">
        <v>3</v>
      </c>
      <c r="L98" s="33" t="n">
        <v>3</v>
      </c>
      <c r="M98" s="33" t="n">
        <v>3</v>
      </c>
      <c r="N98" s="33" t="n">
        <v>4</v>
      </c>
      <c r="O98" s="33" t="n">
        <v>3</v>
      </c>
      <c r="P98" s="33" t="n">
        <v>2</v>
      </c>
      <c r="Q98" s="34" t="n">
        <f aca="false">SUM(E98:P98)</f>
        <v>35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2026-04-24T09:47:56Z</dcterms:created>
  <dc:creator>openpyxl</dc:creator>
  <dc:description/>
  <dc:language>en-US</dc:language>
  <cp:lastModifiedBy/>
  <dcterms:modified xsi:type="dcterms:W3CDTF">2026-04-24T09:47:56Z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