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Within-Force_Overlap" sheetId="2" state="visible" r:id="rId4"/>
    <sheet name="Cross-Force_Matrix" sheetId="3" state="visible" r:id="rId5"/>
    <sheet name="Empirical_Computation" sheetId="4" state="visible" r:id="rId6"/>
    <sheet name="Mechanism_Adjustments" sheetId="5" state="visible" r:id="rId7"/>
    <sheet name="Trend_Censu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<sst xmlns="http://schemas.openxmlformats.org/spreadsheetml/2006/main" count="646" uniqueCount="292">
  <si>
    <t xml:space="preserve">PRISM v3.1 — ATTENUATION FACTOR CALIBRATION</t>
  </si>
  <si>
    <t xml:space="preserve">82-trend empirical calibration | Bain Senior Partner review | April 2026</t>
  </si>
  <si>
    <t xml:space="preserve">HEADLINE FINDINGS</t>
  </si>
  <si>
    <t xml:space="preserve">1.</t>
  </si>
  <si>
    <t xml:space="preserve">Flat 0.5 attenuation was blunt. Replaced by per-force effective attenuation 0.40–0.49, grounded in 82-trend pairwise similarity analysis.</t>
  </si>
  <si>
    <t xml:space="preserve">2.</t>
  </si>
  <si>
    <t xml:space="preserve">Government has the tightest trend cluster. Within-force overlap 0.426 (empirical mean J = 0.678) — 8 of 12 Gov trends stem from a single EU Green Deal root mechanism.</t>
  </si>
  <si>
    <t xml:space="preserve">3.</t>
  </si>
  <si>
    <t xml:space="preserve">Gov↔Env is the strongest cross-force coupling. Env→Gov 0.432, Gov→Env 0.405 — PFAS, PPWR, EUDR, DPP are simultaneously regulatory AND environmental.</t>
  </si>
  <si>
    <t xml:space="preserve">4.</t>
  </si>
  <si>
    <t xml:space="preserve">Consumer and Competitive trends are genuinely diverse. Empirical excess overlap = 0 for both (23 and 12 trends respectively). Floor-clamped at 0.10 within-force.</t>
  </si>
  <si>
    <t xml:space="preserve">5.</t>
  </si>
  <si>
    <t xml:space="preserve">Government→Technology coupling strengthened. Calibrated 0.367 vs v3.0 0.25 — regulation now more directly triggers reformulation R&amp;D (AI Act, DPP, PFAS).</t>
  </si>
  <si>
    <t xml:space="preserve">6.</t>
  </si>
  <si>
    <t xml:space="preserve">Customer is more coupled than v3.0 assumed. Customer→Government 0.300 (vs 0.10) and Customer→Technology 0.266 (vs 0.10) — retail media + agentic commerce bring retailers into tech/reg scope.</t>
  </si>
  <si>
    <t xml:space="preserve">METHODOLOGY (3 steps)</t>
  </si>
  <si>
    <t xml:space="preserve">Step 1</t>
  </si>
  <si>
    <t xml:space="preserve">Empirical structural overlap — For each force-pair (i,j), compute the mean pairwise weighted Jaccard similarity between every trend in i and every trend in j, using the 12-category exposure vector (exposure scores 0–5). Jaccard(u,v) = Σ min(u,v) / Σ max(u,v).</t>
  </si>
  <si>
    <t xml:space="preserve">Step 2</t>
  </si>
  <si>
    <t xml:space="preserve">Subtract random baseline J₀ — J₀ = 0.4846 is the mean pairwise J across ALL 82 trends regardless of force. The excess overlap = max(0, mean_J − J₀) / (1 − J₀) ∈ [0,1] is interpretable as 'fraction of above-random overlap.'</t>
  </si>
  <si>
    <t xml:space="preserve">Step 3a</t>
  </si>
  <si>
    <t xml:space="preserve">Apply asymmetry via force size — For cross-force cells, multiply excess by sqrt(n_j / n_i) (capped at 1.5×). Reflects that a broad force is more likely to 'cover' a narrow force's phenomena than vice versa.</t>
  </si>
  <si>
    <t xml:space="preserve">Step 3b</t>
  </si>
  <si>
    <t xml:space="preserve">Apply mechanism adjustment — Additive ±0.03 to ±0.10 per cell based on documented FMCG causal couplings. +0.10 = strongest (Gov↔Env). Negative adjustments for forces that look structurally similar but are mechanistically independent.</t>
  </si>
  <si>
    <t xml:space="preserve">EFFECTIVE ATTENUATION PER FORCE</t>
  </si>
  <si>
    <t xml:space="preserve">eff_att_i = base × (1 − mean(O[i][j] for j≠i)), base=0.5</t>
  </si>
  <si>
    <t xml:space="preserve">Force</t>
  </si>
  <si>
    <t xml:space="preserve">Mean row O</t>
  </si>
  <si>
    <t xml:space="preserve">Eff. Att. (NEW)</t>
  </si>
  <si>
    <t xml:space="preserve">v3.0 Eff. Att.</t>
  </si>
  <si>
    <t xml:space="preserve">Δ</t>
  </si>
  <si>
    <t xml:space="preserve"># Trends</t>
  </si>
  <si>
    <t xml:space="preserve">Consumer</t>
  </si>
  <si>
    <t xml:space="preserve">Customer</t>
  </si>
  <si>
    <t xml:space="preserve">Technology</t>
  </si>
  <si>
    <t xml:space="preserve">Government</t>
  </si>
  <si>
    <t xml:space="preserve">Environmental</t>
  </si>
  <si>
    <t xml:space="preserve">Competitive</t>
  </si>
  <si>
    <t xml:space="preserve">TOTAL</t>
  </si>
  <si>
    <t xml:space="preserve">WITHIN-FORCE OVERLAP — Dampening applied when multiple trends in same force score same category</t>
  </si>
  <si>
    <t xml:space="preserve">Formula: dampened_sum = raw_sum × (1 − overlap × (n−1)/n)   where n = number of trends with non-zero exposure for that category</t>
  </si>
  <si>
    <t xml:space="preserve">Calibration: mean pairwise weighted Jaccard on 12-category exposure vectors, minus J₀ baseline, plus mechanism adjustment</t>
  </si>
  <si>
    <t xml:space="preserve">Pairs</t>
  </si>
  <si>
    <t xml:space="preserve">Mean J</t>
  </si>
  <si>
    <t xml:space="preserve">Excess</t>
  </si>
  <si>
    <t xml:space="preserve">Mech. Adj.</t>
  </si>
  <si>
    <t xml:space="preserve">FINAL</t>
  </si>
  <si>
    <t xml:space="preserve">v3.0</t>
  </si>
  <si>
    <t xml:space="preserve">Rationale</t>
  </si>
  <si>
    <t xml:space="preserve">23 highly diverse trends across premium (r03, r09, r21), sustainability (r04, r13), demographics (r05, r08, r24), occasions (r07, r14, r15), geography (r17-r20), value trading (r01, r06, r11, r22). Empirical excess = 0 → floor-clamped at 0.10.</t>
  </si>
  <si>
    <t xml:space="preserve">8 trends split between channel power cluster (r01 Discount, r03 Consolidation, r08 US Retail Media) and digital disruption cluster (r04 TikTok, r06 Subscription, r09 Agentic). Each cluster internally tight, clusters distinct from each other. No mechanism adj.</t>
  </si>
  <si>
    <t xml:space="preserve">16 trends with TWO very tight clusters: AI/Agentic (r01/r06/r07/r09/r10/r11/r12/r13 = 8) and Bio/Green Chem (r02/r04/r14/r15/r16 = 5). Structural J captures within-cluster similarity but UNDERstates mechanism redundancy — r09 and r13 are the same phenomenon scored twice. Mech adj +0.05.</t>
  </si>
  <si>
    <t xml:space="preserve">12 trends, 8+ stem from European Green Deal (r01 PFAS, r02 Microplastics, r03 Omnibus VII/VIII, r04 PPWR, r05 Green Claims, r06 EUDR, r10 AI Act, r11 Biodiv, r12 Textile). Shared EU regulatory DNA = genuine mechanism redundancy. Highest within-force overlap. Mech adj +0.05.</t>
  </si>
  <si>
    <t xml:space="preserve">11 trends strongly interconnected via planetary-boundaries causal web: r01 Palm↔r10 Freshwater↔r02 Water (supply stress), r03 Carbon↔r04 EPR↔r11 Scope3 (compliance cost), r05 Climate↔r09 Climate Adapt (direct climate). Tight causal coupling. Mech adj +0.05.</t>
  </si>
  <si>
    <t xml:space="preserve">12 trends are each about a DIFFERENT competitor: r01 Reckitt, r02 Unilever, r03 P&amp;G, r04 DTC, r05 Chinese, r06 IMEA, r07 L'Oréal, r08 K/J-beauty, r09 Africa, r10 Amazon, r11 NVIDIA, r12 M&amp;A wave. Genuinely independent strategies — empirical excess = 0 → floor-clamped at 0.10. Mech adj −0.05.</t>
  </si>
  <si>
    <t xml:space="preserve">READING GUIDE</t>
  </si>
  <si>
    <t xml:space="preserve">• Mean J = mean pairwise weighted Jaccard over all trend pairs within the force (raw structural overlap).</t>
  </si>
  <si>
    <t xml:space="preserve">• Excess = max(0, Mean J − 0.485) / (1 − 0.485) maps baseline to 0 and perfect copy to 1. Values of 0 mean no above-random overlap detected.</t>
  </si>
  <si>
    <t xml:space="preserve">• Mech. Adj. = additive adjustment based on mechanism-cluster judgment. +0.05 when force has tight causal cluster beyond structural similarity; −0.05 when trends are genuinely independent.</t>
  </si>
  <si>
    <t xml:space="preserve">• FINAL (green) = clamped to [0.10, 0.45]. Value of 0.10 = floor (preserves light dampening). Value of 0.45 = ceiling (prevents collapse).</t>
  </si>
  <si>
    <t xml:space="preserve">• v3.0 (red) = previous 'assumed' values. Δ is the calibration correction.</t>
  </si>
  <si>
    <t xml:space="preserve">• Color scale on FINAL: blue (low overlap, little dampening) → yellow (moderate) → red (high dampening).</t>
  </si>
  <si>
    <t xml:space="preserve">CROSS-FORCE OVERLAP MATRIX — O[i][j] = fraction of force i's signal captured by force j</t>
  </si>
  <si>
    <t xml:space="preserve">Effective attenuation per force: eff_att_i = base_attenuation × (1 − mean(O[i][j] for j≠i))</t>
  </si>
  <si>
    <t xml:space="preserve">CALIBRATED (v3.1, April 2026)</t>
  </si>
  <si>
    <t xml:space="preserve">From \ To</t>
  </si>
  <si>
    <t xml:space="preserve">Row mean</t>
  </si>
  <si>
    <t xml:space="preserve">Eff. Att.</t>
  </si>
  <si>
    <t xml:space="preserve">—</t>
  </si>
  <si>
    <t xml:space="preserve">v3.0 (ASSUMED) — for comparison</t>
  </si>
  <si>
    <t xml:space="preserve">Δ (CALIBRATED − v3.0) — where the calibration shifted values</t>
  </si>
  <si>
    <t xml:space="preserve">KEY COUPLINGS (ranked by calibrated value)</t>
  </si>
  <si>
    <t xml:space="preserve">Rank</t>
  </si>
  <si>
    <t xml:space="preserve">From</t>
  </si>
  <si>
    <t xml:space="preserve">To</t>
  </si>
  <si>
    <t xml:space="preserve">Calibrated</t>
  </si>
  <si>
    <t xml:space="preserve">Mechanism</t>
  </si>
  <si>
    <t xml:space="preserve">PFAS ban, PPWR, EUDR, DPP are simultaneously environmental AND regulatory. Strongest coupling in the model.</t>
  </si>
  <si>
    <t xml:space="preserve">Same as above, reverse direction. Minor asymmetry from force-size normalization.</t>
  </si>
  <si>
    <t xml:space="preserve">Regulation triggers reformulation R&amp;D: PFAS ban → bio-chem investment; AI Act → model governance; DPP → digital infrastructure.</t>
  </si>
  <si>
    <t xml:space="preserve">Retailer compliance burden scales with regulation: PPWR packaging, CSRD reporting, DPP infrastructure all land on retailers.</t>
  </si>
  <si>
    <t xml:space="preserve">Retail media networks + agentic commerce + subscription platforms = customer-facing technology.</t>
  </si>
  <si>
    <t xml:space="preserve">Supply chain constraints (palm, water, energy) drive bio-chem and concentrated-format reformulation.</t>
  </si>
  <si>
    <t xml:space="preserve">Emerging tech (AI agents, gen AI, DPP) directly in regulatory scope via AI Act.</t>
  </si>
  <si>
    <t xml:space="preserve">Retailer-adjacent regulation (PPWR, Green Claims) puts compliance burden on channel.</t>
  </si>
  <si>
    <t xml:space="preserve">Retail media, connected appliances, agentic commerce = tech infrastructure deployed through retailers.</t>
  </si>
  <si>
    <t xml:space="preserve">Retailer ESG commitments and private-label sustainable reformulation drive environmental alignment.</t>
  </si>
  <si>
    <t xml:space="preserve">Sustainability-driven assortment decisions reshape retailer category planning.</t>
  </si>
  <si>
    <t xml:space="preserve">EMPIRICAL COMPUTATION — Cross-force mean pairwise weighted Jaccard, before adjustment</t>
  </si>
  <si>
    <t xml:space="preserve">Random-pair baseline J₀ = 0.4846  (mean pairwise J across all 82 trends)</t>
  </si>
  <si>
    <t xml:space="preserve"># pairs</t>
  </si>
  <si>
    <t xml:space="preserve">Mean J (raw)</t>
  </si>
  <si>
    <t xml:space="preserve">Excess = (J−J₀)/(1−J₀)</t>
  </si>
  <si>
    <t xml:space="preserve">Size factor √(n_j/n_i)</t>
  </si>
  <si>
    <t xml:space="preserve">Asym. empirical</t>
  </si>
  <si>
    <t xml:space="preserve">Mech. adj.</t>
  </si>
  <si>
    <t xml:space="preserve">MECHANISM-CLUSTER ADJUSTMENTS — Expert overlay on empirical baseline</t>
  </si>
  <si>
    <t xml:space="preserve">WITHIN-FORCE mechanism adjustments</t>
  </si>
  <si>
    <t xml:space="preserve">Adjustment</t>
  </si>
  <si>
    <t xml:space="preserve">23 highly diverse trends — 4 regional trends (r17-r20) geographically independent dilute any premium/sustain clustering. Net slight reduction.</t>
  </si>
  <si>
    <t xml:space="preserve">2 distinct internal clusters (channel power, digital disruption) but clusters themselves are distinct. Empirical baseline is correct; no adjustment.</t>
  </si>
  <si>
    <t xml:space="preserve">Two tight mechanism clusters: AI/Agentic (8 of 16) and Bio/Green Chem (5 of 16). Structural J understates mechanism redundancy — r09 Gen AI Discovery and r13 Generative Search are the same phenomenon scored twice.</t>
  </si>
  <si>
    <t xml:space="preserve">8+ trends stem from European Green Deal root. Shared EU regulatory DNA = mechanism overlap beyond structural similarity.</t>
  </si>
  <si>
    <t xml:space="preserve">11 trends strongly interconnected via planetary boundaries causal web: water → palm → carbon → climate → nearshoring.</t>
  </si>
  <si>
    <t xml:space="preserve">12 trends are each about DIFFERENT competitors (Reckitt, P&amp;G, Unilever, L'Oréal, etc.). Genuinely independent strategies.</t>
  </si>
  <si>
    <t xml:space="preserve">CROSS-FORCE mechanism adjustments</t>
  </si>
  <si>
    <t xml:space="preserve">Consumer preference (cost-of-living, trading down) shapes channel choice (discounter, subscription).</t>
  </si>
  <si>
    <t xml:space="preserve">Sustainability preference IS a consumer value — not just observed behavior.</t>
  </si>
  <si>
    <t xml:space="preserve">Dupe culture → indie brands; PL demand → PL competitors; C-beauty preference → Chinese brands.</t>
  </si>
  <si>
    <t xml:space="preserve">Channel power ↔ competitive positioning: retailer consolidation redefines competitive dynamics.</t>
  </si>
  <si>
    <t xml:space="preserve">Retail media networks, agentic commerce, subscription platforms = customer-facing technology stack.</t>
  </si>
  <si>
    <t xml:space="preserve">AI formulation, L'Oréal-NVIDIA partnership = technology-as-competitive-weapon.</t>
  </si>
  <si>
    <t xml:space="preserve">Regulation directly triggers reformulation R&amp;D investment: PFAS → bio-chem; AI Act → model governance.</t>
  </si>
  <si>
    <t xml:space="preserve">STRONGEST COUPLING: PFAS, PPWR, EUDR, DPP are all simultaneously regulatory AND environmental. One mechanism, two angles.</t>
  </si>
  <si>
    <t xml:space="preserve">Sustainability pressure = consumer value. Mirrors Consumer→Environmental; bidirectional.</t>
  </si>
  <si>
    <t xml:space="preserve">Supply chain constraints (palm, water, energy) drive bio-chem investment and concentrated format development.</t>
  </si>
  <si>
    <t xml:space="preserve">ESG compliance burden is the vehicle through which environmental pressures become regulatory action.</t>
  </si>
  <si>
    <t xml:space="preserve">Competitive moves (Unilever B&amp;W pivot, L'Oréal tech-beauty) visible as consumer-facing trends.</t>
  </si>
  <si>
    <t xml:space="preserve">Retailer-as-competitor (Amazon PL, Aldi, Costco Kirkland) — channel and competitive dynamics merge.</t>
  </si>
  <si>
    <t xml:space="preserve">TREND CENSUS — Input data for calibration (82 trends)</t>
  </si>
  <si>
    <t xml:space="preserve">ID</t>
  </si>
  <si>
    <t xml:space="preserve">Name</t>
  </si>
  <si>
    <t xml:space="preserve">Direction</t>
  </si>
  <si>
    <t xml:space="preserve">Prob</t>
  </si>
  <si>
    <t xml:space="preserve">GP1%</t>
  </si>
  <si>
    <t xml:space="preserve"># Cats</t>
  </si>
  <si>
    <t xml:space="preserve">consumer_r01</t>
  </si>
  <si>
    <t xml:space="preserve">Private Label Structural Penetration in Europe</t>
  </si>
  <si>
    <t xml:space="preserve">Contraction</t>
  </si>
  <si>
    <t xml:space="preserve">consumer_r02</t>
  </si>
  <si>
    <t xml:space="preserve">GLP-1 Drugs Reshape Consumer Spending Patterns</t>
  </si>
  <si>
    <t xml:space="preserve">Expansion</t>
  </si>
  <si>
    <t xml:space="preserve">consumer_r03</t>
  </si>
  <si>
    <t xml:space="preserve">Premiumization Acceleration in Hair Care</t>
  </si>
  <si>
    <t xml:space="preserve">consumer_r04</t>
  </si>
  <si>
    <t xml:space="preserve">Conscious Consumption and Cleanical Beauty</t>
  </si>
  <si>
    <t xml:space="preserve">consumer_r05</t>
  </si>
  <si>
    <t xml:space="preserve">Silver Economy — Aging Population</t>
  </si>
  <si>
    <t xml:space="preserve">consumer_r06</t>
  </si>
  <si>
    <t xml:space="preserve">Cost-of-Living Squeeze and Trading Down</t>
  </si>
  <si>
    <t xml:space="preserve">consumer_r07</t>
  </si>
  <si>
    <t xml:space="preserve">Scalp Care Emerges as Standalone Category</t>
  </si>
  <si>
    <t xml:space="preserve">consumer_r08</t>
  </si>
  <si>
    <t xml:space="preserve">Male Grooming Structural Growth</t>
  </si>
  <si>
    <t xml:space="preserve">consumer_r09</t>
  </si>
  <si>
    <t xml:space="preserve">Fragrance and Sensory Premiumization</t>
  </si>
  <si>
    <t xml:space="preserve">consumer_r10</t>
  </si>
  <si>
    <t xml:space="preserve">Hair Loss and Thinning Treatments</t>
  </si>
  <si>
    <t xml:space="preserve">consumer_r11</t>
  </si>
  <si>
    <t xml:space="preserve">Gen Z Dupe Culture and Ingredient Literacy</t>
  </si>
  <si>
    <t xml:space="preserve">consumer_r13</t>
  </si>
  <si>
    <t xml:space="preserve">Refill and Reuse Economy in Household Care</t>
  </si>
  <si>
    <t xml:space="preserve">consumer_r14</t>
  </si>
  <si>
    <t xml:space="preserve">Between-Wash Fabric Care as Standalone</t>
  </si>
  <si>
    <t xml:space="preserve">consumer_r15</t>
  </si>
  <si>
    <t xml:space="preserve">Hair Styling and Maintenance Between Washes</t>
  </si>
  <si>
    <t xml:space="preserve">consumer_r16</t>
  </si>
  <si>
    <t xml:space="preserve">China C-Beauty Nationalism</t>
  </si>
  <si>
    <t xml:space="preserve">consumer_r17</t>
  </si>
  <si>
    <t xml:space="preserve">India Premium Affordability</t>
  </si>
  <si>
    <t xml:space="preserve">consumer_r18</t>
  </si>
  <si>
    <t xml:space="preserve">US Hispanic/Latino Consumers</t>
  </si>
  <si>
    <t xml:space="preserve">consumer_r19</t>
  </si>
  <si>
    <t xml:space="preserve">Southeast Asia Digital-First Beauty</t>
  </si>
  <si>
    <t xml:space="preserve">consumer_r20</t>
  </si>
  <si>
    <t xml:space="preserve">Brazil/Mexico Premiumization</t>
  </si>
  <si>
    <t xml:space="preserve">consumer_r21</t>
  </si>
  <si>
    <t xml:space="preserve">Longevity Medicine Crossover</t>
  </si>
  <si>
    <t xml:space="preserve">consumer_r22</t>
  </si>
  <si>
    <t xml:space="preserve">Laundry Sheet/Strip Format Disruption</t>
  </si>
  <si>
    <t xml:space="preserve">consumer_r23</t>
  </si>
  <si>
    <t xml:space="preserve">Wellness-to-Beauty Convergence</t>
  </si>
  <si>
    <t xml:space="preserve">consumer_r24</t>
  </si>
  <si>
    <t xml:space="preserve">Natural/Textured Hair as Mainstream</t>
  </si>
  <si>
    <t xml:space="preserve">government_r01</t>
  </si>
  <si>
    <t xml:space="preserve">EU PFAS Universal Restriction</t>
  </si>
  <si>
    <t xml:space="preserve">government_r02</t>
  </si>
  <si>
    <t xml:space="preserve">EU Microplastics Ban — Phase 2</t>
  </si>
  <si>
    <t xml:space="preserve">government_r03</t>
  </si>
  <si>
    <t xml:space="preserve">EU Cosmetics Regulation Omnibus VII/VIII</t>
  </si>
  <si>
    <t xml:space="preserve">government_r04</t>
  </si>
  <si>
    <t xml:space="preserve">EU PPWR — Packaging Regulation</t>
  </si>
  <si>
    <t xml:space="preserve">government_r05</t>
  </si>
  <si>
    <t xml:space="preserve">EU Green Claims Directive / EmpCo</t>
  </si>
  <si>
    <t xml:space="preserve">government_r06</t>
  </si>
  <si>
    <t xml:space="preserve">EU Deforestation Regulation (EUDR)</t>
  </si>
  <si>
    <t xml:space="preserve">government_r07</t>
  </si>
  <si>
    <t xml:space="preserve">EU Digital Product Passport (DPP)</t>
  </si>
  <si>
    <t xml:space="preserve">government_r08</t>
  </si>
  <si>
    <t xml:space="preserve">Tariffs, Trade Wars, Deglobalization</t>
  </si>
  <si>
    <t xml:space="preserve">government_r09</t>
  </si>
  <si>
    <t xml:space="preserve">US Tariffs and Reshoring Pressure</t>
  </si>
  <si>
    <t xml:space="preserve">government_r10</t>
  </si>
  <si>
    <t xml:space="preserve">EU AI Act Compliance Costs</t>
  </si>
  <si>
    <t xml:space="preserve">government_r11</t>
  </si>
  <si>
    <t xml:space="preserve">Biodiversity Regulation and Supply Chain</t>
  </si>
  <si>
    <t xml:space="preserve">government_r12</t>
  </si>
  <si>
    <t xml:space="preserve">EU Textile Strategy and Circular Fashion</t>
  </si>
  <si>
    <t xml:space="preserve">technology_r01</t>
  </si>
  <si>
    <t xml:space="preserve">AI-Driven Formulation and Speed-to-Market</t>
  </si>
  <si>
    <t xml:space="preserve">technology_r02</t>
  </si>
  <si>
    <t xml:space="preserve">Bio-Based and Green Chemistry</t>
  </si>
  <si>
    <t xml:space="preserve">technology_r03</t>
  </si>
  <si>
    <t xml:space="preserve">Concentrated and Solid Formats</t>
  </si>
  <si>
    <t xml:space="preserve">technology_r04</t>
  </si>
  <si>
    <t xml:space="preserve">Microbiome Science for Hair and Skin</t>
  </si>
  <si>
    <t xml:space="preserve">technology_r05</t>
  </si>
  <si>
    <t xml:space="preserve">Manufacturing Automation and Industry 4.0</t>
  </si>
  <si>
    <t xml:space="preserve">technology_r06</t>
  </si>
  <si>
    <t xml:space="preserve">Retail Media Networks as Primary Channel</t>
  </si>
  <si>
    <t xml:space="preserve">technology_r07</t>
  </si>
  <si>
    <t xml:space="preserve">AI-Powered Personalization at Scale</t>
  </si>
  <si>
    <t xml:space="preserve">technology_r08</t>
  </si>
  <si>
    <t xml:space="preserve">Connected Appliances and Auto-Dosing</t>
  </si>
  <si>
    <t xml:space="preserve">technology_r09</t>
  </si>
  <si>
    <t xml:space="preserve">Generative AI Disrupts Product Discovery</t>
  </si>
  <si>
    <t xml:space="preserve">technology_r10</t>
  </si>
  <si>
    <t xml:space="preserve">Gen AI Content and Marketing Efficiency</t>
  </si>
  <si>
    <t xml:space="preserve">technology_r11</t>
  </si>
  <si>
    <t xml:space="preserve">Agentic Commerce: AI Agents</t>
  </si>
  <si>
    <t xml:space="preserve">technology_r12</t>
  </si>
  <si>
    <t xml:space="preserve">AI Agent Brand Invisibility</t>
  </si>
  <si>
    <t xml:space="preserve">technology_r13</t>
  </si>
  <si>
    <t xml:space="preserve">Generative Search (GEO) Replaces Discovery</t>
  </si>
  <si>
    <t xml:space="preserve">technology_r14</t>
  </si>
  <si>
    <t xml:space="preserve">Peptide and Bioactive Hair Science</t>
  </si>
  <si>
    <t xml:space="preserve">technology_r15</t>
  </si>
  <si>
    <t xml:space="preserve">Precision Fermentation Disrupts Supply</t>
  </si>
  <si>
    <t xml:space="preserve">technology_r16</t>
  </si>
  <si>
    <t xml:space="preserve">Synthetic Biology — Novel Surfactants</t>
  </si>
  <si>
    <t xml:space="preserve">environmental_r01</t>
  </si>
  <si>
    <t xml:space="preserve">Palm Oil Supply Chain Disruption (B50)</t>
  </si>
  <si>
    <t xml:space="preserve">environmental_r02</t>
  </si>
  <si>
    <t xml:space="preserve">Water Scarcity and Low-Water Formulations</t>
  </si>
  <si>
    <t xml:space="preserve">environmental_r03</t>
  </si>
  <si>
    <t xml:space="preserve">Carbon Border Adjustment and Scope 3</t>
  </si>
  <si>
    <t xml:space="preserve">environmental_r04</t>
  </si>
  <si>
    <t xml:space="preserve">EPR Fee Escalation and Eco-Modulation</t>
  </si>
  <si>
    <t xml:space="preserve">environmental_r05</t>
  </si>
  <si>
    <t xml:space="preserve">Climate-Driven Pest Pattern Shifts</t>
  </si>
  <si>
    <t xml:space="preserve">environmental_r06</t>
  </si>
  <si>
    <t xml:space="preserve">Supply Chain Nearshoring</t>
  </si>
  <si>
    <t xml:space="preserve">environmental_r07</t>
  </si>
  <si>
    <t xml:space="preserve">Energy Cost Volatility and European Mfg</t>
  </si>
  <si>
    <t xml:space="preserve">environmental_r08</t>
  </si>
  <si>
    <t xml:space="preserve">Textile Longevity and Garment Life Extension</t>
  </si>
  <si>
    <t xml:space="preserve">environmental_r09</t>
  </si>
  <si>
    <t xml:space="preserve">Climate Adaptation Costs for European Mfg</t>
  </si>
  <si>
    <t xml:space="preserve">environmental_r10</t>
  </si>
  <si>
    <t xml:space="preserve">Freshwater Crisis and Waterless Formulation</t>
  </si>
  <si>
    <t xml:space="preserve">environmental_r11</t>
  </si>
  <si>
    <t xml:space="preserve">Scope 3+ Value Chain Decarbonization</t>
  </si>
  <si>
    <t xml:space="preserve">competitive_r01</t>
  </si>
  <si>
    <t xml:space="preserve">Reckitt Essential Home Divestiture</t>
  </si>
  <si>
    <t xml:space="preserve">competitive_r02</t>
  </si>
  <si>
    <t xml:space="preserve">Unilever Beauty and Wellbeing Pivot</t>
  </si>
  <si>
    <t xml:space="preserve">competitive_r03</t>
  </si>
  <si>
    <t xml:space="preserve">P&amp;G Superiority Framework and Innovation</t>
  </si>
  <si>
    <t xml:space="preserve">competitive_r04</t>
  </si>
  <si>
    <t xml:space="preserve">DTC and Indie Brand Disruption in Hair</t>
  </si>
  <si>
    <t xml:space="preserve">competitive_r05</t>
  </si>
  <si>
    <t xml:space="preserve">Chinese FMCG Brands Enter European Market</t>
  </si>
  <si>
    <t xml:space="preserve">competitive_r06</t>
  </si>
  <si>
    <t xml:space="preserve">Emerging Markets Growth Divergence — IMEA</t>
  </si>
  <si>
    <t xml:space="preserve">competitive_r07</t>
  </si>
  <si>
    <t xml:space="preserve">L'Oreal Tech-Beauty Platform Strategy</t>
  </si>
  <si>
    <t xml:space="preserve">competitive_r08</t>
  </si>
  <si>
    <t xml:space="preserve">K-Beauty and J-Beauty Export Wave</t>
  </si>
  <si>
    <t xml:space="preserve">competitive_r09</t>
  </si>
  <si>
    <t xml:space="preserve">Sub-Saharan Africa: $200B FMCG Frontier</t>
  </si>
  <si>
    <t xml:space="preserve">competitive_r10</t>
  </si>
  <si>
    <t xml:space="preserve">Amazon/Platform Vertical Integration</t>
  </si>
  <si>
    <t xml:space="preserve">competitive_r11</t>
  </si>
  <si>
    <t xml:space="preserve">L'Oreal NVIDIA AI Molecule Discovery</t>
  </si>
  <si>
    <t xml:space="preserve">competitive_r12</t>
  </si>
  <si>
    <t xml:space="preserve">DTC/Indie Brand Acquisition Arms Race</t>
  </si>
  <si>
    <t xml:space="preserve">customer_r01</t>
  </si>
  <si>
    <t xml:space="preserve">Discount Retail Channel Expansion</t>
  </si>
  <si>
    <t xml:space="preserve">customer_r02</t>
  </si>
  <si>
    <t xml:space="preserve">E-Commerce Profit Pool Maturation</t>
  </si>
  <si>
    <t xml:space="preserve">customer_r03</t>
  </si>
  <si>
    <t xml:space="preserve">Retailer Consolidation and Power</t>
  </si>
  <si>
    <t xml:space="preserve">customer_r04</t>
  </si>
  <si>
    <t xml:space="preserve">TikTok Shop Becomes Top-5 FMCG Channel</t>
  </si>
  <si>
    <t xml:space="preserve">customer_r06</t>
  </si>
  <si>
    <t xml:space="preserve">FMCG Subscription and Loyalty Ecosystem</t>
  </si>
  <si>
    <t xml:space="preserve">customer_r07</t>
  </si>
  <si>
    <t xml:space="preserve">Professional Salon Channel to Consumer Crossover</t>
  </si>
  <si>
    <t xml:space="preserve">customer_r08</t>
  </si>
  <si>
    <t xml:space="preserve">US Retail Media Networks Reshape Economics</t>
  </si>
  <si>
    <t xml:space="preserve">customer_r09</t>
  </si>
  <si>
    <t xml:space="preserve">Agentic Commerce Reshapes Power Dynamics</t>
  </si>
</sst>
</file>

<file path=xl/styles.xml><?xml version="1.0" encoding="utf-8"?>
<styleSheet xmlns="http://schemas.openxmlformats.org/spreadsheetml/2006/main">
  <numFmts count="4">
    <numFmt numFmtId="164" formatCode="General"/>
    <numFmt numFmtId="165" formatCode="0.000"/>
    <numFmt numFmtId="166" formatCode="\+0.000;\-0.000;\-"/>
    <numFmt numFmtId="167" formatCode="0.00%"/>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name val="Arial"/>
      <family val="0"/>
      <charset val="1"/>
    </font>
    <font>
      <b val="true"/>
      <sz val="12"/>
      <color rgb="FFE1001A"/>
      <name val="Arial"/>
      <family val="0"/>
      <charset val="1"/>
    </font>
    <font>
      <b val="true"/>
      <sz val="10"/>
      <color rgb="FF000000"/>
      <name val="Arial"/>
      <family val="0"/>
      <charset val="1"/>
    </font>
    <font>
      <sz val="10"/>
      <color rgb="FF000000"/>
      <name val="Arial"/>
      <family val="0"/>
      <charset val="1"/>
    </font>
    <font>
      <i val="true"/>
      <sz val="9"/>
      <name val="Arial"/>
      <family val="0"/>
      <charset val="1"/>
    </font>
    <font>
      <b val="true"/>
      <sz val="10"/>
      <color rgb="FFFFFFFF"/>
      <name val="Arial"/>
      <family val="0"/>
      <charset val="1"/>
    </font>
    <font>
      <sz val="10"/>
      <color rgb="FF0000FF"/>
      <name val="Arial"/>
      <family val="0"/>
      <charset val="1"/>
    </font>
    <font>
      <sz val="9"/>
      <name val="Arial"/>
      <family val="0"/>
      <charset val="1"/>
    </font>
    <font>
      <sz val="9"/>
      <color rgb="FF000000"/>
      <name val="Arial"/>
      <family val="0"/>
      <charset val="1"/>
    </font>
  </fonts>
  <fills count="9">
    <fill>
      <patternFill patternType="none"/>
    </fill>
    <fill>
      <patternFill patternType="gray125"/>
    </fill>
    <fill>
      <patternFill patternType="solid">
        <fgColor rgb="FFE1001A"/>
        <bgColor rgb="FF800000"/>
      </patternFill>
    </fill>
    <fill>
      <patternFill patternType="solid">
        <fgColor rgb="FFF3F4F6"/>
        <bgColor rgb="FFECFDF5"/>
      </patternFill>
    </fill>
    <fill>
      <patternFill patternType="solid">
        <fgColor rgb="FF1F2937"/>
        <bgColor rgb="FF333300"/>
      </patternFill>
    </fill>
    <fill>
      <patternFill patternType="solid">
        <fgColor rgb="FFECFDF5"/>
        <bgColor rgb="FFF3F4F6"/>
      </patternFill>
    </fill>
    <fill>
      <patternFill patternType="solid">
        <fgColor rgb="FFFEE2E2"/>
        <bgColor rgb="FFE5E7EB"/>
      </patternFill>
    </fill>
    <fill>
      <patternFill patternType="solid">
        <fgColor rgb="FFE5E7EB"/>
        <bgColor rgb="FFF3F4F6"/>
      </patternFill>
    </fill>
    <fill>
      <patternFill patternType="solid">
        <fgColor rgb="FFFEF3C7"/>
        <bgColor rgb="FFFEE2E2"/>
      </patternFill>
    </fill>
  </fills>
  <borders count="2">
    <border diagonalUp="false" diagonalDown="false">
      <left/>
      <right/>
      <top/>
      <bottom/>
      <diagonal/>
    </border>
    <border diagonalUp="false" diagonalDown="false">
      <left style="thin">
        <color rgb="FF9CA3AF"/>
      </left>
      <right style="thin">
        <color rgb="FF9CA3AF"/>
      </right>
      <top style="thin">
        <color rgb="FF9CA3AF"/>
      </top>
      <bottom style="thin">
        <color rgb="FF9CA3A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5" fontId="8" fillId="5" borderId="1" xfId="0" applyFont="true" applyBorder="true" applyAlignment="true" applyProtection="false">
      <alignment horizontal="right" vertical="center" textRotation="0" wrapText="false" indent="0" shrinkToFit="false"/>
      <protection locked="true" hidden="false"/>
    </xf>
    <xf numFmtId="165" fontId="8" fillId="6"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5" fontId="7" fillId="3" borderId="1" xfId="0" applyFont="true" applyBorder="true" applyAlignment="true" applyProtection="false">
      <alignment horizontal="right" vertical="center" textRotation="0" wrapText="false" indent="0" shrinkToFit="false"/>
      <protection locked="true" hidden="false"/>
    </xf>
    <xf numFmtId="166" fontId="7" fillId="3" borderId="1" xfId="0" applyFont="true" applyBorder="true" applyAlignment="true" applyProtection="false">
      <alignment horizontal="right" vertical="center" textRotation="0" wrapText="false" indent="0" shrinkToFit="false"/>
      <protection locked="true" hidden="false"/>
    </xf>
    <xf numFmtId="164" fontId="7" fillId="3"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right" vertical="center" textRotation="0" wrapText="false" indent="0" shrinkToFit="false"/>
      <protection locked="true" hidden="false"/>
    </xf>
    <xf numFmtId="166" fontId="11" fillId="0" borderId="1" xfId="0" applyFont="true" applyBorder="true" applyAlignment="true" applyProtection="false">
      <alignment horizontal="right" vertical="center" textRotation="0" wrapText="fals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5" fontId="11" fillId="6"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5" fontId="11" fillId="5"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5" fontId="7" fillId="8" borderId="1"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true" applyAlignment="true" applyProtection="false">
      <alignment horizontal="left" vertical="center" textRotation="0" wrapText="true" indent="0" shrinkToFit="false"/>
      <protection locked="true" hidden="false"/>
    </xf>
    <xf numFmtId="165" fontId="11" fillId="6"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7" fillId="8" borderId="0" xfId="0" applyFont="true" applyBorder="true" applyAlignment="true" applyProtection="false">
      <alignment horizontal="center" vertical="center"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6" fontId="11" fillId="5"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1001A"/>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CFD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3F4F6"/>
      <rgbColor rgb="FFE5E7EB"/>
      <rgbColor rgb="FFFFFF99"/>
      <rgbColor rgb="FF99CCFF"/>
      <rgbColor rgb="FFFF99CC"/>
      <rgbColor rgb="FFCC99FF"/>
      <rgbColor rgb="FFFEE2E2"/>
      <rgbColor rgb="FF3366FF"/>
      <rgbColor rgb="FF33CCCC"/>
      <rgbColor rgb="FF99CC00"/>
      <rgbColor rgb="FFFFCC00"/>
      <rgbColor rgb="FFFF9900"/>
      <rgbColor rgb="FFFF6600"/>
      <rgbColor rgb="FF666699"/>
      <rgbColor rgb="FF9CA3AF"/>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8" min="3" style="0" width="16"/>
  </cols>
  <sheetData>
    <row r="2" customFormat="false" ht="31.5" hidden="false" customHeight="true" outlineLevel="0" collapsed="false">
      <c r="B2" s="1" t="s">
        <v>0</v>
      </c>
      <c r="C2" s="1"/>
      <c r="D2" s="1"/>
      <c r="E2" s="1"/>
      <c r="F2" s="1"/>
      <c r="G2" s="1"/>
      <c r="H2" s="1"/>
    </row>
    <row r="3" customFormat="false" ht="15" hidden="false" customHeight="false" outlineLevel="0" collapsed="false">
      <c r="B3" s="2" t="s">
        <v>1</v>
      </c>
      <c r="C3" s="2"/>
      <c r="D3" s="2"/>
      <c r="E3" s="2"/>
      <c r="F3" s="2"/>
      <c r="G3" s="2"/>
      <c r="H3" s="2"/>
    </row>
    <row r="5" customFormat="false" ht="15" hidden="false" customHeight="true" outlineLevel="0" collapsed="false">
      <c r="B5" s="3" t="s">
        <v>2</v>
      </c>
      <c r="C5" s="3"/>
      <c r="D5" s="3"/>
      <c r="E5" s="3"/>
      <c r="F5" s="3"/>
      <c r="G5" s="3"/>
      <c r="H5" s="3"/>
    </row>
    <row r="6" customFormat="false" ht="31.5" hidden="false" customHeight="true" outlineLevel="0" collapsed="false">
      <c r="B6" s="4" t="s">
        <v>3</v>
      </c>
      <c r="C6" s="5" t="s">
        <v>4</v>
      </c>
      <c r="D6" s="5"/>
      <c r="E6" s="5"/>
      <c r="F6" s="5"/>
      <c r="G6" s="5"/>
      <c r="H6" s="5"/>
    </row>
    <row r="7" customFormat="false" ht="31.5" hidden="false" customHeight="true" outlineLevel="0" collapsed="false">
      <c r="B7" s="4" t="s">
        <v>5</v>
      </c>
      <c r="C7" s="5" t="s">
        <v>6</v>
      </c>
      <c r="D7" s="5"/>
      <c r="E7" s="5"/>
      <c r="F7" s="5"/>
      <c r="G7" s="5"/>
      <c r="H7" s="5"/>
    </row>
    <row r="8" customFormat="false" ht="31.5" hidden="false" customHeight="true" outlineLevel="0" collapsed="false">
      <c r="B8" s="4" t="s">
        <v>7</v>
      </c>
      <c r="C8" s="5" t="s">
        <v>8</v>
      </c>
      <c r="D8" s="5"/>
      <c r="E8" s="5"/>
      <c r="F8" s="5"/>
      <c r="G8" s="5"/>
      <c r="H8" s="5"/>
    </row>
    <row r="9" customFormat="false" ht="31.5" hidden="false" customHeight="true" outlineLevel="0" collapsed="false">
      <c r="B9" s="4" t="s">
        <v>9</v>
      </c>
      <c r="C9" s="5" t="s">
        <v>10</v>
      </c>
      <c r="D9" s="5"/>
      <c r="E9" s="5"/>
      <c r="F9" s="5"/>
      <c r="G9" s="5"/>
      <c r="H9" s="5"/>
    </row>
    <row r="10" customFormat="false" ht="31.5" hidden="false" customHeight="true" outlineLevel="0" collapsed="false">
      <c r="B10" s="4" t="s">
        <v>11</v>
      </c>
      <c r="C10" s="5" t="s">
        <v>12</v>
      </c>
      <c r="D10" s="5"/>
      <c r="E10" s="5"/>
      <c r="F10" s="5"/>
      <c r="G10" s="5"/>
      <c r="H10" s="5"/>
    </row>
    <row r="11" customFormat="false" ht="31.5" hidden="false" customHeight="true" outlineLevel="0" collapsed="false">
      <c r="B11" s="4" t="s">
        <v>13</v>
      </c>
      <c r="C11" s="5" t="s">
        <v>14</v>
      </c>
      <c r="D11" s="5"/>
      <c r="E11" s="5"/>
      <c r="F11" s="5"/>
      <c r="G11" s="5"/>
      <c r="H11" s="5"/>
    </row>
    <row r="13" customFormat="false" ht="15" hidden="false" customHeight="true" outlineLevel="0" collapsed="false">
      <c r="B13" s="3" t="s">
        <v>15</v>
      </c>
      <c r="C13" s="3"/>
      <c r="D13" s="3"/>
      <c r="E13" s="3"/>
      <c r="F13" s="3"/>
      <c r="G13" s="3"/>
      <c r="H13" s="3"/>
    </row>
    <row r="14" customFormat="false" ht="39.75" hidden="false" customHeight="true" outlineLevel="0" collapsed="false">
      <c r="B14" s="4" t="s">
        <v>16</v>
      </c>
      <c r="C14" s="5" t="s">
        <v>17</v>
      </c>
      <c r="D14" s="5"/>
      <c r="E14" s="5"/>
      <c r="F14" s="5"/>
      <c r="G14" s="5"/>
      <c r="H14" s="5"/>
    </row>
    <row r="15" customFormat="false" ht="39.75" hidden="false" customHeight="true" outlineLevel="0" collapsed="false">
      <c r="B15" s="4" t="s">
        <v>18</v>
      </c>
      <c r="C15" s="5" t="s">
        <v>19</v>
      </c>
      <c r="D15" s="5"/>
      <c r="E15" s="5"/>
      <c r="F15" s="5"/>
      <c r="G15" s="5"/>
      <c r="H15" s="5"/>
    </row>
    <row r="16" customFormat="false" ht="39.75" hidden="false" customHeight="true" outlineLevel="0" collapsed="false">
      <c r="B16" s="4" t="s">
        <v>20</v>
      </c>
      <c r="C16" s="5" t="s">
        <v>21</v>
      </c>
      <c r="D16" s="5"/>
      <c r="E16" s="5"/>
      <c r="F16" s="5"/>
      <c r="G16" s="5"/>
      <c r="H16" s="5"/>
    </row>
    <row r="17" customFormat="false" ht="39.75" hidden="false" customHeight="true" outlineLevel="0" collapsed="false">
      <c r="B17" s="4" t="s">
        <v>22</v>
      </c>
      <c r="C17" s="5" t="s">
        <v>23</v>
      </c>
      <c r="D17" s="5"/>
      <c r="E17" s="5"/>
      <c r="F17" s="5"/>
      <c r="G17" s="5"/>
      <c r="H17" s="5"/>
    </row>
    <row r="19" customFormat="false" ht="15" hidden="false" customHeight="true" outlineLevel="0" collapsed="false">
      <c r="B19" s="3" t="s">
        <v>24</v>
      </c>
      <c r="C19" s="3"/>
      <c r="D19" s="3"/>
      <c r="E19" s="3"/>
      <c r="F19" s="3"/>
      <c r="G19" s="3"/>
      <c r="H19" s="3"/>
    </row>
    <row r="20" customFormat="false" ht="15" hidden="false" customHeight="false" outlineLevel="0" collapsed="false">
      <c r="B20" s="6" t="s">
        <v>25</v>
      </c>
      <c r="C20" s="6"/>
      <c r="D20" s="6"/>
      <c r="E20" s="6"/>
      <c r="F20" s="6"/>
      <c r="G20" s="6"/>
      <c r="H20" s="6"/>
    </row>
    <row r="22" customFormat="false" ht="15" hidden="false" customHeight="false" outlineLevel="0" collapsed="false">
      <c r="B22" s="7" t="s">
        <v>26</v>
      </c>
      <c r="C22" s="7" t="s">
        <v>27</v>
      </c>
      <c r="D22" s="7" t="s">
        <v>28</v>
      </c>
      <c r="E22" s="7" t="s">
        <v>29</v>
      </c>
      <c r="F22" s="7" t="s">
        <v>30</v>
      </c>
      <c r="G22" s="7" t="s">
        <v>31</v>
      </c>
    </row>
    <row r="23" customFormat="false" ht="15" hidden="false" customHeight="false" outlineLevel="0" collapsed="false">
      <c r="B23" s="8" t="s">
        <v>32</v>
      </c>
      <c r="C23" s="9" t="n">
        <v>0.036</v>
      </c>
      <c r="D23" s="10" t="n">
        <v>0.482</v>
      </c>
      <c r="E23" s="11" t="n">
        <v>0.415</v>
      </c>
      <c r="F23" s="12" t="n">
        <v>0.067</v>
      </c>
      <c r="G23" s="13" t="n">
        <v>23</v>
      </c>
    </row>
    <row r="24" customFormat="false" ht="15" hidden="false" customHeight="false" outlineLevel="0" collapsed="false">
      <c r="B24" s="8" t="s">
        <v>33</v>
      </c>
      <c r="C24" s="9" t="n">
        <v>0.1638</v>
      </c>
      <c r="D24" s="10" t="n">
        <v>0.4181</v>
      </c>
      <c r="E24" s="11" t="n">
        <v>0.425</v>
      </c>
      <c r="F24" s="12" t="n">
        <v>-0.00689999999999996</v>
      </c>
      <c r="G24" s="13" t="n">
        <v>8</v>
      </c>
    </row>
    <row r="25" customFormat="false" ht="15" hidden="false" customHeight="false" outlineLevel="0" collapsed="false">
      <c r="B25" s="8" t="s">
        <v>34</v>
      </c>
      <c r="C25" s="9" t="n">
        <v>0.1296</v>
      </c>
      <c r="D25" s="10" t="n">
        <v>0.4352</v>
      </c>
      <c r="E25" s="11" t="n">
        <v>0.43</v>
      </c>
      <c r="F25" s="12" t="n">
        <v>0.00520000000000004</v>
      </c>
      <c r="G25" s="13" t="n">
        <v>16</v>
      </c>
    </row>
    <row r="26" customFormat="false" ht="15" hidden="false" customHeight="false" outlineLevel="0" collapsed="false">
      <c r="B26" s="8" t="s">
        <v>35</v>
      </c>
      <c r="C26" s="9" t="n">
        <v>0.1944</v>
      </c>
      <c r="D26" s="10" t="n">
        <v>0.4028</v>
      </c>
      <c r="E26" s="11" t="n">
        <v>0.405</v>
      </c>
      <c r="F26" s="12" t="n">
        <v>-0.00220000000000004</v>
      </c>
      <c r="G26" s="13" t="n">
        <v>12</v>
      </c>
    </row>
    <row r="27" customFormat="false" ht="15" hidden="false" customHeight="false" outlineLevel="0" collapsed="false">
      <c r="B27" s="8" t="s">
        <v>36</v>
      </c>
      <c r="C27" s="9" t="n">
        <v>0.1732</v>
      </c>
      <c r="D27" s="10" t="n">
        <v>0.4134</v>
      </c>
      <c r="E27" s="11" t="n">
        <v>0.412</v>
      </c>
      <c r="F27" s="12" t="n">
        <v>0.00139999999999996</v>
      </c>
      <c r="G27" s="13" t="n">
        <v>11</v>
      </c>
    </row>
    <row r="28" customFormat="false" ht="15" hidden="false" customHeight="false" outlineLevel="0" collapsed="false">
      <c r="B28" s="8" t="s">
        <v>37</v>
      </c>
      <c r="C28" s="9" t="n">
        <v>0.0274</v>
      </c>
      <c r="D28" s="10" t="n">
        <v>0.4863</v>
      </c>
      <c r="E28" s="11" t="n">
        <v>0.425</v>
      </c>
      <c r="F28" s="12" t="n">
        <v>0.0613</v>
      </c>
      <c r="G28" s="13" t="n">
        <v>12</v>
      </c>
    </row>
    <row r="29" customFormat="false" ht="15" hidden="false" customHeight="false" outlineLevel="0" collapsed="false">
      <c r="B29" s="14" t="s">
        <v>38</v>
      </c>
      <c r="C29" s="15" t="n">
        <f aca="false">AVERAGE(C23:C28)</f>
        <v>0.120733333333333</v>
      </c>
      <c r="D29" s="15" t="n">
        <f aca="false">AVERAGE(D23:D28)</f>
        <v>0.439633333333333</v>
      </c>
      <c r="E29" s="15" t="n">
        <f aca="false">AVERAGE(E23:E28)</f>
        <v>0.418666666666667</v>
      </c>
      <c r="F29" s="16" t="n">
        <f aca="false">D29-E29</f>
        <v>0.0209666666666666</v>
      </c>
      <c r="G29" s="17" t="n">
        <f aca="false">SUM(G23:G28)</f>
        <v>82</v>
      </c>
    </row>
  </sheetData>
  <mergeCells count="16">
    <mergeCell ref="B2:H2"/>
    <mergeCell ref="B3:H3"/>
    <mergeCell ref="B5:H5"/>
    <mergeCell ref="C6:H6"/>
    <mergeCell ref="C7:H7"/>
    <mergeCell ref="C8:H8"/>
    <mergeCell ref="C9:H9"/>
    <mergeCell ref="C10:H10"/>
    <mergeCell ref="C11:H11"/>
    <mergeCell ref="B13:H13"/>
    <mergeCell ref="C14:H14"/>
    <mergeCell ref="C15:H15"/>
    <mergeCell ref="C16:H16"/>
    <mergeCell ref="C17:H17"/>
    <mergeCell ref="B19:H19"/>
    <mergeCell ref="B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9"/>
    <col collapsed="false" customWidth="true" hidden="false" outlineLevel="0" max="4" min="4" style="0" width="12"/>
    <col collapsed="false" customWidth="true" hidden="false" outlineLevel="0" max="6" min="5" style="0" width="11"/>
    <col collapsed="false" customWidth="true" hidden="false" outlineLevel="0" max="7" min="7" style="0" width="10"/>
    <col collapsed="false" customWidth="true" hidden="false" outlineLevel="0" max="9" min="8" style="0" width="8"/>
    <col collapsed="false" customWidth="true" hidden="false" outlineLevel="0" max="10" min="10" style="0" width="60"/>
  </cols>
  <sheetData>
    <row r="2" customFormat="false" ht="30" hidden="false" customHeight="true" outlineLevel="0" collapsed="false">
      <c r="B2" s="1" t="s">
        <v>39</v>
      </c>
      <c r="C2" s="1"/>
      <c r="D2" s="1"/>
      <c r="E2" s="1"/>
      <c r="F2" s="1"/>
      <c r="G2" s="1"/>
      <c r="H2" s="1"/>
      <c r="I2" s="1"/>
      <c r="J2" s="1"/>
    </row>
    <row r="3" customFormat="false" ht="15" hidden="false" customHeight="false" outlineLevel="0" collapsed="false">
      <c r="B3" s="2" t="s">
        <v>40</v>
      </c>
      <c r="C3" s="2"/>
      <c r="D3" s="2"/>
      <c r="E3" s="2"/>
      <c r="F3" s="2"/>
      <c r="G3" s="2"/>
      <c r="H3" s="2"/>
      <c r="I3" s="2"/>
      <c r="J3" s="2"/>
    </row>
    <row r="4" customFormat="false" ht="15" hidden="false" customHeight="false" outlineLevel="0" collapsed="false">
      <c r="B4" s="18" t="s">
        <v>41</v>
      </c>
      <c r="C4" s="18"/>
      <c r="D4" s="18"/>
      <c r="E4" s="18"/>
      <c r="F4" s="18"/>
      <c r="G4" s="18"/>
      <c r="H4" s="18"/>
      <c r="I4" s="18"/>
      <c r="J4" s="18"/>
    </row>
    <row r="6" customFormat="false" ht="24" hidden="false" customHeight="true" outlineLevel="0" collapsed="false">
      <c r="B6" s="7" t="s">
        <v>26</v>
      </c>
      <c r="C6" s="7" t="s">
        <v>31</v>
      </c>
      <c r="D6" s="7" t="s">
        <v>42</v>
      </c>
      <c r="E6" s="7" t="s">
        <v>43</v>
      </c>
      <c r="F6" s="7" t="s">
        <v>44</v>
      </c>
      <c r="G6" s="7" t="s">
        <v>45</v>
      </c>
      <c r="H6" s="7" t="s">
        <v>46</v>
      </c>
      <c r="I6" s="7" t="s">
        <v>47</v>
      </c>
      <c r="J6" s="7" t="s">
        <v>30</v>
      </c>
      <c r="K6" s="7" t="s">
        <v>48</v>
      </c>
    </row>
    <row r="7" customFormat="false" ht="60" hidden="false" customHeight="true" outlineLevel="0" collapsed="false">
      <c r="B7" s="8" t="s">
        <v>32</v>
      </c>
      <c r="C7" s="19" t="n">
        <v>23</v>
      </c>
      <c r="D7" s="20" t="n">
        <f aca="false">C7*(C7-1)/2</f>
        <v>253</v>
      </c>
      <c r="E7" s="21" t="n">
        <v>0.38664840044891</v>
      </c>
      <c r="F7" s="21" t="n">
        <v>0</v>
      </c>
      <c r="G7" s="22" t="n">
        <v>-0.03</v>
      </c>
      <c r="H7" s="23" t="n">
        <v>0.1</v>
      </c>
      <c r="I7" s="24" t="n">
        <v>0.22</v>
      </c>
      <c r="J7" s="12" t="n">
        <f aca="false">H7-I7</f>
        <v>-0.12</v>
      </c>
      <c r="K7" s="25" t="s">
        <v>49</v>
      </c>
    </row>
    <row r="8" customFormat="false" ht="60" hidden="false" customHeight="true" outlineLevel="0" collapsed="false">
      <c r="B8" s="8" t="s">
        <v>33</v>
      </c>
      <c r="C8" s="19" t="n">
        <v>8</v>
      </c>
      <c r="D8" s="20" t="n">
        <f aca="false">C8*(C8-1)/2</f>
        <v>28</v>
      </c>
      <c r="E8" s="21" t="n">
        <v>0.565550474435483</v>
      </c>
      <c r="F8" s="21" t="n">
        <v>0.157042633079675</v>
      </c>
      <c r="G8" s="22" t="n">
        <v>0</v>
      </c>
      <c r="H8" s="23" t="n">
        <v>0.157</v>
      </c>
      <c r="I8" s="24" t="n">
        <v>0.22</v>
      </c>
      <c r="J8" s="12" t="n">
        <f aca="false">H8-I8</f>
        <v>-0.063</v>
      </c>
      <c r="K8" s="25" t="s">
        <v>50</v>
      </c>
    </row>
    <row r="9" customFormat="false" ht="60" hidden="false" customHeight="true" outlineLevel="0" collapsed="false">
      <c r="B9" s="8" t="s">
        <v>34</v>
      </c>
      <c r="C9" s="19" t="n">
        <v>16</v>
      </c>
      <c r="D9" s="20" t="n">
        <f aca="false">C9*(C9-1)/2</f>
        <v>120</v>
      </c>
      <c r="E9" s="21" t="n">
        <v>0.578634922123293</v>
      </c>
      <c r="F9" s="21" t="n">
        <v>0.182430234910271</v>
      </c>
      <c r="G9" s="22" t="n">
        <v>0.05</v>
      </c>
      <c r="H9" s="23" t="n">
        <v>0.232</v>
      </c>
      <c r="I9" s="24" t="n">
        <v>0.2</v>
      </c>
      <c r="J9" s="12" t="n">
        <f aca="false">H9-I9</f>
        <v>0.032</v>
      </c>
      <c r="K9" s="25" t="s">
        <v>51</v>
      </c>
    </row>
    <row r="10" customFormat="false" ht="60" hidden="false" customHeight="true" outlineLevel="0" collapsed="false">
      <c r="B10" s="8" t="s">
        <v>35</v>
      </c>
      <c r="C10" s="19" t="n">
        <v>12</v>
      </c>
      <c r="D10" s="20" t="n">
        <f aca="false">C10*(C10-1)/2</f>
        <v>66</v>
      </c>
      <c r="E10" s="21" t="n">
        <v>0.678238718237221</v>
      </c>
      <c r="F10" s="21" t="n">
        <v>0.375690323290772</v>
      </c>
      <c r="G10" s="22" t="n">
        <v>0.05</v>
      </c>
      <c r="H10" s="23" t="n">
        <v>0.426</v>
      </c>
      <c r="I10" s="24" t="n">
        <v>0.35</v>
      </c>
      <c r="J10" s="12" t="n">
        <f aca="false">H10-I10</f>
        <v>0.076</v>
      </c>
      <c r="K10" s="25" t="s">
        <v>52</v>
      </c>
    </row>
    <row r="11" customFormat="false" ht="60" hidden="false" customHeight="true" outlineLevel="0" collapsed="false">
      <c r="B11" s="8" t="s">
        <v>36</v>
      </c>
      <c r="C11" s="19" t="n">
        <v>11</v>
      </c>
      <c r="D11" s="20" t="n">
        <f aca="false">C11*(C11-1)/2</f>
        <v>55</v>
      </c>
      <c r="E11" s="21" t="n">
        <v>0.59730978122046</v>
      </c>
      <c r="F11" s="21" t="n">
        <v>0.218664847047783</v>
      </c>
      <c r="G11" s="22" t="n">
        <v>0.05</v>
      </c>
      <c r="H11" s="23" t="n">
        <v>0.269</v>
      </c>
      <c r="I11" s="24" t="n">
        <v>0.32</v>
      </c>
      <c r="J11" s="12" t="n">
        <f aca="false">H11-I11</f>
        <v>-0.051</v>
      </c>
      <c r="K11" s="25" t="s">
        <v>53</v>
      </c>
    </row>
    <row r="12" customFormat="false" ht="60" hidden="false" customHeight="true" outlineLevel="0" collapsed="false">
      <c r="B12" s="8" t="s">
        <v>37</v>
      </c>
      <c r="C12" s="19" t="n">
        <v>12</v>
      </c>
      <c r="D12" s="20" t="n">
        <f aca="false">C12*(C12-1)/2</f>
        <v>66</v>
      </c>
      <c r="E12" s="21" t="n">
        <v>0.45527084289124</v>
      </c>
      <c r="F12" s="21" t="n">
        <v>0</v>
      </c>
      <c r="G12" s="22" t="n">
        <v>-0.05</v>
      </c>
      <c r="H12" s="23" t="n">
        <v>0.1</v>
      </c>
      <c r="I12" s="24" t="n">
        <v>0.15</v>
      </c>
      <c r="J12" s="12" t="n">
        <f aca="false">H12-I12</f>
        <v>-0.05</v>
      </c>
      <c r="K12" s="25" t="s">
        <v>54</v>
      </c>
    </row>
    <row r="14" customFormat="false" ht="15" hidden="false" customHeight="false" outlineLevel="0" collapsed="false">
      <c r="B14" s="26" t="s">
        <v>55</v>
      </c>
      <c r="C14" s="26"/>
      <c r="D14" s="26"/>
      <c r="E14" s="26"/>
      <c r="F14" s="26"/>
      <c r="G14" s="26"/>
      <c r="H14" s="26"/>
      <c r="I14" s="26"/>
      <c r="J14" s="26"/>
    </row>
    <row r="15" customFormat="false" ht="15" hidden="false" customHeight="true" outlineLevel="0" collapsed="false">
      <c r="B15" s="27" t="s">
        <v>56</v>
      </c>
      <c r="C15" s="27"/>
      <c r="D15" s="27"/>
      <c r="E15" s="27"/>
      <c r="F15" s="27"/>
      <c r="G15" s="27"/>
      <c r="H15" s="27"/>
      <c r="I15" s="27"/>
      <c r="J15" s="27"/>
    </row>
    <row r="16" customFormat="false" ht="15" hidden="false" customHeight="true" outlineLevel="0" collapsed="false">
      <c r="B16" s="27" t="s">
        <v>57</v>
      </c>
      <c r="C16" s="27"/>
      <c r="D16" s="27"/>
      <c r="E16" s="27"/>
      <c r="F16" s="27"/>
      <c r="G16" s="27"/>
      <c r="H16" s="27"/>
      <c r="I16" s="27"/>
      <c r="J16" s="27"/>
    </row>
    <row r="17" customFormat="false" ht="15" hidden="false" customHeight="true" outlineLevel="0" collapsed="false">
      <c r="B17" s="27" t="s">
        <v>58</v>
      </c>
      <c r="C17" s="27"/>
      <c r="D17" s="27"/>
      <c r="E17" s="27"/>
      <c r="F17" s="27"/>
      <c r="G17" s="27"/>
      <c r="H17" s="27"/>
      <c r="I17" s="27"/>
      <c r="J17" s="27"/>
    </row>
    <row r="18" customFormat="false" ht="15" hidden="false" customHeight="true" outlineLevel="0" collapsed="false">
      <c r="B18" s="27" t="s">
        <v>59</v>
      </c>
      <c r="C18" s="27"/>
      <c r="D18" s="27"/>
      <c r="E18" s="27"/>
      <c r="F18" s="27"/>
      <c r="G18" s="27"/>
      <c r="H18" s="27"/>
      <c r="I18" s="27"/>
      <c r="J18" s="27"/>
    </row>
    <row r="19" customFormat="false" ht="15" hidden="false" customHeight="true" outlineLevel="0" collapsed="false">
      <c r="B19" s="27" t="s">
        <v>60</v>
      </c>
      <c r="C19" s="27"/>
      <c r="D19" s="27"/>
      <c r="E19" s="27"/>
      <c r="F19" s="27"/>
      <c r="G19" s="27"/>
      <c r="H19" s="27"/>
      <c r="I19" s="27"/>
      <c r="J19" s="27"/>
    </row>
    <row r="20" customFormat="false" ht="15" hidden="false" customHeight="true" outlineLevel="0" collapsed="false">
      <c r="B20" s="27" t="s">
        <v>61</v>
      </c>
      <c r="C20" s="27"/>
      <c r="D20" s="27"/>
      <c r="E20" s="27"/>
      <c r="F20" s="27"/>
      <c r="G20" s="27"/>
      <c r="H20" s="27"/>
      <c r="I20" s="27"/>
      <c r="J20" s="27"/>
    </row>
  </sheetData>
  <mergeCells count="10">
    <mergeCell ref="B2:J2"/>
    <mergeCell ref="B3:J3"/>
    <mergeCell ref="B4:J4"/>
    <mergeCell ref="B14:J14"/>
    <mergeCell ref="B15:J15"/>
    <mergeCell ref="B16:J16"/>
    <mergeCell ref="B17:J17"/>
    <mergeCell ref="B18:J18"/>
    <mergeCell ref="B19:J19"/>
    <mergeCell ref="B20:J20"/>
  </mergeCells>
  <conditionalFormatting sqref="H7:H12">
    <cfRule type="colorScale" priority="2">
      <colorScale>
        <cfvo type="num" val="0.1"/>
        <cfvo type="num" val="0.25"/>
        <cfvo type="num" val="0.45"/>
        <color rgb="FFDBEAFE"/>
        <color rgb="FFFEF3C7"/>
        <color rgb="FFFECACA"/>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12" min="3" style="0" width="11"/>
  </cols>
  <sheetData>
    <row r="2" customFormat="false" ht="30" hidden="false" customHeight="true" outlineLevel="0" collapsed="false">
      <c r="B2" s="1" t="s">
        <v>62</v>
      </c>
      <c r="C2" s="1"/>
      <c r="D2" s="1"/>
      <c r="E2" s="1"/>
      <c r="F2" s="1"/>
      <c r="G2" s="1"/>
      <c r="H2" s="1"/>
      <c r="I2" s="1"/>
    </row>
    <row r="3" customFormat="false" ht="15" hidden="false" customHeight="false" outlineLevel="0" collapsed="false">
      <c r="B3" s="2" t="s">
        <v>63</v>
      </c>
      <c r="C3" s="2"/>
      <c r="D3" s="2"/>
      <c r="E3" s="2"/>
      <c r="F3" s="2"/>
      <c r="G3" s="2"/>
      <c r="H3" s="2"/>
      <c r="I3" s="2"/>
    </row>
    <row r="5" customFormat="false" ht="15" hidden="false" customHeight="true" outlineLevel="0" collapsed="false">
      <c r="B5" s="3" t="s">
        <v>64</v>
      </c>
      <c r="C5" s="3"/>
      <c r="D5" s="3"/>
      <c r="E5" s="3"/>
      <c r="F5" s="3"/>
      <c r="G5" s="3"/>
      <c r="H5" s="3"/>
      <c r="I5" s="3"/>
    </row>
    <row r="6" customFormat="false" ht="15" hidden="false" customHeight="false" outlineLevel="0" collapsed="false">
      <c r="B6" s="7" t="s">
        <v>65</v>
      </c>
      <c r="C6" s="7" t="s">
        <v>32</v>
      </c>
      <c r="D6" s="7" t="s">
        <v>33</v>
      </c>
      <c r="E6" s="7" t="s">
        <v>34</v>
      </c>
      <c r="F6" s="7" t="s">
        <v>35</v>
      </c>
      <c r="G6" s="7" t="s">
        <v>36</v>
      </c>
      <c r="H6" s="7" t="s">
        <v>37</v>
      </c>
      <c r="I6" s="7" t="s">
        <v>66</v>
      </c>
      <c r="J6" s="7" t="s">
        <v>67</v>
      </c>
    </row>
    <row r="7" customFormat="false" ht="15" hidden="false" customHeight="false" outlineLevel="0" collapsed="false">
      <c r="B7" s="28" t="s">
        <v>32</v>
      </c>
      <c r="C7" s="29" t="s">
        <v>68</v>
      </c>
      <c r="D7" s="30" t="n">
        <v>0.05</v>
      </c>
      <c r="E7" s="30" t="n">
        <v>0</v>
      </c>
      <c r="F7" s="30" t="n">
        <v>0</v>
      </c>
      <c r="G7" s="30" t="n">
        <v>0.05</v>
      </c>
      <c r="H7" s="30" t="n">
        <v>0.08</v>
      </c>
      <c r="I7" s="31" t="n">
        <f aca="false">AVERAGE(C7:H7)</f>
        <v>0.036</v>
      </c>
      <c r="J7" s="32" t="n">
        <f aca="false">0.5*(1-I7)</f>
        <v>0.482</v>
      </c>
    </row>
    <row r="8" customFormat="false" ht="15" hidden="false" customHeight="false" outlineLevel="0" collapsed="false">
      <c r="B8" s="28" t="s">
        <v>33</v>
      </c>
      <c r="C8" s="30" t="n">
        <v>0</v>
      </c>
      <c r="D8" s="29" t="s">
        <v>68</v>
      </c>
      <c r="E8" s="30" t="n">
        <v>0.266</v>
      </c>
      <c r="F8" s="30" t="n">
        <v>0.3</v>
      </c>
      <c r="G8" s="30" t="n">
        <v>0.163</v>
      </c>
      <c r="H8" s="30" t="n">
        <v>0.09</v>
      </c>
      <c r="I8" s="31" t="n">
        <f aca="false">AVERAGE(C8:H8)</f>
        <v>0.1638</v>
      </c>
      <c r="J8" s="32" t="n">
        <f aca="false">0.5*(1-I8)</f>
        <v>0.4181</v>
      </c>
    </row>
    <row r="9" customFormat="false" ht="15" hidden="false" customHeight="false" outlineLevel="0" collapsed="false">
      <c r="B9" s="28" t="s">
        <v>34</v>
      </c>
      <c r="C9" s="30" t="n">
        <v>0</v>
      </c>
      <c r="D9" s="30" t="n">
        <v>0.183</v>
      </c>
      <c r="E9" s="29" t="s">
        <v>68</v>
      </c>
      <c r="F9" s="30" t="n">
        <v>0.237</v>
      </c>
      <c r="G9" s="30" t="n">
        <v>0.148</v>
      </c>
      <c r="H9" s="30" t="n">
        <v>0.08</v>
      </c>
      <c r="I9" s="31" t="n">
        <f aca="false">AVERAGE(C9:H9)</f>
        <v>0.1296</v>
      </c>
      <c r="J9" s="32" t="n">
        <f aca="false">0.5*(1-I9)</f>
        <v>0.4352</v>
      </c>
    </row>
    <row r="10" customFormat="false" ht="15" hidden="false" customHeight="false" outlineLevel="0" collapsed="false">
      <c r="B10" s="28" t="s">
        <v>35</v>
      </c>
      <c r="C10" s="30" t="n">
        <v>0</v>
      </c>
      <c r="D10" s="30" t="n">
        <v>0.2</v>
      </c>
      <c r="E10" s="30" t="n">
        <v>0.367</v>
      </c>
      <c r="F10" s="29" t="s">
        <v>68</v>
      </c>
      <c r="G10" s="30" t="n">
        <v>0.405</v>
      </c>
      <c r="H10" s="30" t="n">
        <v>0</v>
      </c>
      <c r="I10" s="31" t="n">
        <f aca="false">AVERAGE(C10:H10)</f>
        <v>0.1944</v>
      </c>
      <c r="J10" s="32" t="n">
        <f aca="false">0.5*(1-I10)</f>
        <v>0.4028</v>
      </c>
    </row>
    <row r="11" customFormat="false" ht="15" hidden="false" customHeight="false" outlineLevel="0" collapsed="false">
      <c r="B11" s="28" t="s">
        <v>36</v>
      </c>
      <c r="C11" s="30" t="n">
        <v>0.05</v>
      </c>
      <c r="D11" s="30" t="n">
        <v>0.118</v>
      </c>
      <c r="E11" s="30" t="n">
        <v>0.266</v>
      </c>
      <c r="F11" s="30" t="n">
        <v>0.432</v>
      </c>
      <c r="G11" s="29" t="s">
        <v>68</v>
      </c>
      <c r="H11" s="30" t="n">
        <v>0</v>
      </c>
      <c r="I11" s="31" t="n">
        <f aca="false">AVERAGE(C11:H11)</f>
        <v>0.1732</v>
      </c>
      <c r="J11" s="32" t="n">
        <f aca="false">0.5*(1-I11)</f>
        <v>0.4134</v>
      </c>
    </row>
    <row r="12" customFormat="false" ht="15" hidden="false" customHeight="false" outlineLevel="0" collapsed="false">
      <c r="B12" s="28" t="s">
        <v>37</v>
      </c>
      <c r="C12" s="30" t="n">
        <v>0.05</v>
      </c>
      <c r="D12" s="30" t="n">
        <v>0.087</v>
      </c>
      <c r="E12" s="30" t="n">
        <v>0</v>
      </c>
      <c r="F12" s="30" t="n">
        <v>0</v>
      </c>
      <c r="G12" s="30" t="n">
        <v>0</v>
      </c>
      <c r="H12" s="29" t="s">
        <v>68</v>
      </c>
      <c r="I12" s="31" t="n">
        <f aca="false">AVERAGE(C12:H12)</f>
        <v>0.0274</v>
      </c>
      <c r="J12" s="32" t="n">
        <f aca="false">0.5*(1-I12)</f>
        <v>0.4863</v>
      </c>
    </row>
    <row r="15" customFormat="false" ht="15" hidden="false" customHeight="true" outlineLevel="0" collapsed="false">
      <c r="B15" s="33" t="s">
        <v>69</v>
      </c>
      <c r="C15" s="33"/>
      <c r="D15" s="33"/>
      <c r="E15" s="33"/>
      <c r="F15" s="33"/>
      <c r="G15" s="33"/>
      <c r="H15" s="33"/>
      <c r="I15" s="33"/>
    </row>
    <row r="16" customFormat="false" ht="15" hidden="false" customHeight="false" outlineLevel="0" collapsed="false">
      <c r="B16" s="7" t="s">
        <v>65</v>
      </c>
      <c r="C16" s="7" t="s">
        <v>32</v>
      </c>
      <c r="D16" s="7" t="s">
        <v>33</v>
      </c>
      <c r="E16" s="7" t="s">
        <v>34</v>
      </c>
      <c r="F16" s="7" t="s">
        <v>35</v>
      </c>
      <c r="G16" s="7" t="s">
        <v>36</v>
      </c>
      <c r="H16" s="7" t="s">
        <v>37</v>
      </c>
    </row>
    <row r="17" customFormat="false" ht="15" hidden="false" customHeight="false" outlineLevel="0" collapsed="false">
      <c r="B17" s="28" t="s">
        <v>32</v>
      </c>
      <c r="C17" s="29" t="s">
        <v>68</v>
      </c>
      <c r="D17" s="34" t="n">
        <v>0.2</v>
      </c>
      <c r="E17" s="34" t="n">
        <v>0.1</v>
      </c>
      <c r="F17" s="34" t="n">
        <v>0.1</v>
      </c>
      <c r="G17" s="34" t="n">
        <v>0.2</v>
      </c>
      <c r="H17" s="34" t="n">
        <v>0.25</v>
      </c>
    </row>
    <row r="18" customFormat="false" ht="15" hidden="false" customHeight="false" outlineLevel="0" collapsed="false">
      <c r="B18" s="28" t="s">
        <v>33</v>
      </c>
      <c r="C18" s="34" t="n">
        <v>0.25</v>
      </c>
      <c r="D18" s="29" t="s">
        <v>68</v>
      </c>
      <c r="E18" s="34" t="n">
        <v>0.1</v>
      </c>
      <c r="F18" s="34" t="n">
        <v>0.1</v>
      </c>
      <c r="G18" s="34" t="n">
        <v>0.05</v>
      </c>
      <c r="H18" s="34" t="n">
        <v>0.25</v>
      </c>
    </row>
    <row r="19" customFormat="false" ht="15" hidden="false" customHeight="false" outlineLevel="0" collapsed="false">
      <c r="B19" s="28" t="s">
        <v>34</v>
      </c>
      <c r="C19" s="34" t="n">
        <v>0.1</v>
      </c>
      <c r="D19" s="34" t="n">
        <v>0.1</v>
      </c>
      <c r="E19" s="29" t="s">
        <v>68</v>
      </c>
      <c r="F19" s="34" t="n">
        <v>0.15</v>
      </c>
      <c r="G19" s="34" t="n">
        <v>0.15</v>
      </c>
      <c r="H19" s="34" t="n">
        <v>0.2</v>
      </c>
    </row>
    <row r="20" customFormat="false" ht="15" hidden="false" customHeight="false" outlineLevel="0" collapsed="false">
      <c r="B20" s="28" t="s">
        <v>35</v>
      </c>
      <c r="C20" s="34" t="n">
        <v>0.1</v>
      </c>
      <c r="D20" s="34" t="n">
        <v>0.15</v>
      </c>
      <c r="E20" s="34" t="n">
        <v>0.25</v>
      </c>
      <c r="F20" s="29" t="s">
        <v>68</v>
      </c>
      <c r="G20" s="34" t="n">
        <v>0.4</v>
      </c>
      <c r="H20" s="34" t="n">
        <v>0.05</v>
      </c>
    </row>
    <row r="21" customFormat="false" ht="15" hidden="false" customHeight="false" outlineLevel="0" collapsed="false">
      <c r="B21" s="28" t="s">
        <v>36</v>
      </c>
      <c r="C21" s="34" t="n">
        <v>0.25</v>
      </c>
      <c r="D21" s="34" t="n">
        <v>0.05</v>
      </c>
      <c r="E21" s="34" t="n">
        <v>0.15</v>
      </c>
      <c r="F21" s="34" t="n">
        <v>0.38</v>
      </c>
      <c r="G21" s="29" t="s">
        <v>68</v>
      </c>
      <c r="H21" s="34" t="n">
        <v>0.05</v>
      </c>
    </row>
    <row r="22" customFormat="false" ht="15" hidden="false" customHeight="false" outlineLevel="0" collapsed="false">
      <c r="B22" s="28" t="s">
        <v>37</v>
      </c>
      <c r="C22" s="34" t="n">
        <v>0.2</v>
      </c>
      <c r="D22" s="34" t="n">
        <v>0.2</v>
      </c>
      <c r="E22" s="34" t="n">
        <v>0.25</v>
      </c>
      <c r="F22" s="34" t="n">
        <v>0.05</v>
      </c>
      <c r="G22" s="34" t="n">
        <v>0.05</v>
      </c>
      <c r="H22" s="29" t="s">
        <v>68</v>
      </c>
    </row>
    <row r="25" customFormat="false" ht="15" hidden="false" customHeight="true" outlineLevel="0" collapsed="false">
      <c r="B25" s="3" t="s">
        <v>70</v>
      </c>
      <c r="C25" s="3"/>
      <c r="D25" s="3"/>
      <c r="E25" s="3"/>
      <c r="F25" s="3"/>
      <c r="G25" s="3"/>
      <c r="H25" s="3"/>
      <c r="I25" s="3"/>
    </row>
    <row r="26" customFormat="false" ht="15" hidden="false" customHeight="false" outlineLevel="0" collapsed="false">
      <c r="B26" s="7" t="s">
        <v>65</v>
      </c>
      <c r="C26" s="7" t="s">
        <v>32</v>
      </c>
      <c r="D26" s="7" t="s">
        <v>33</v>
      </c>
      <c r="E26" s="7" t="s">
        <v>34</v>
      </c>
      <c r="F26" s="7" t="s">
        <v>35</v>
      </c>
      <c r="G26" s="7" t="s">
        <v>36</v>
      </c>
      <c r="H26" s="7" t="s">
        <v>37</v>
      </c>
    </row>
    <row r="27" customFormat="false" ht="15" hidden="false" customHeight="false" outlineLevel="0" collapsed="false">
      <c r="B27" s="28" t="s">
        <v>32</v>
      </c>
      <c r="C27" s="29" t="s">
        <v>68</v>
      </c>
      <c r="D27" s="35" t="n">
        <f aca="false">D7-D17</f>
        <v>-0.15</v>
      </c>
      <c r="E27" s="35" t="n">
        <f aca="false">E7-E17</f>
        <v>-0.1</v>
      </c>
      <c r="F27" s="35" t="n">
        <f aca="false">F7-F17</f>
        <v>-0.1</v>
      </c>
      <c r="G27" s="35" t="n">
        <f aca="false">G7-G17</f>
        <v>-0.15</v>
      </c>
      <c r="H27" s="35" t="n">
        <f aca="false">H7-H17</f>
        <v>-0.17</v>
      </c>
    </row>
    <row r="28" customFormat="false" ht="15" hidden="false" customHeight="false" outlineLevel="0" collapsed="false">
      <c r="B28" s="28" t="s">
        <v>33</v>
      </c>
      <c r="C28" s="35" t="n">
        <f aca="false">C8-C18</f>
        <v>-0.25</v>
      </c>
      <c r="D28" s="29" t="s">
        <v>68</v>
      </c>
      <c r="E28" s="35" t="n">
        <f aca="false">E8-E18</f>
        <v>0.166</v>
      </c>
      <c r="F28" s="35" t="n">
        <f aca="false">F8-F18</f>
        <v>0.2</v>
      </c>
      <c r="G28" s="35" t="n">
        <f aca="false">G8-G18</f>
        <v>0.113</v>
      </c>
      <c r="H28" s="35" t="n">
        <f aca="false">H8-H18</f>
        <v>-0.16</v>
      </c>
    </row>
    <row r="29" customFormat="false" ht="15" hidden="false" customHeight="false" outlineLevel="0" collapsed="false">
      <c r="B29" s="28" t="s">
        <v>34</v>
      </c>
      <c r="C29" s="35" t="n">
        <f aca="false">C9-C19</f>
        <v>-0.1</v>
      </c>
      <c r="D29" s="35" t="n">
        <f aca="false">D9-D19</f>
        <v>0.083</v>
      </c>
      <c r="E29" s="29" t="s">
        <v>68</v>
      </c>
      <c r="F29" s="35" t="n">
        <f aca="false">F9-F19</f>
        <v>0.087</v>
      </c>
      <c r="G29" s="35" t="n">
        <f aca="false">G9-G19</f>
        <v>-0.002</v>
      </c>
      <c r="H29" s="35" t="n">
        <f aca="false">H9-H19</f>
        <v>-0.12</v>
      </c>
    </row>
    <row r="30" customFormat="false" ht="15" hidden="false" customHeight="false" outlineLevel="0" collapsed="false">
      <c r="B30" s="28" t="s">
        <v>35</v>
      </c>
      <c r="C30" s="35" t="n">
        <f aca="false">C10-C20</f>
        <v>-0.1</v>
      </c>
      <c r="D30" s="35" t="n">
        <f aca="false">D10-D20</f>
        <v>0.05</v>
      </c>
      <c r="E30" s="35" t="n">
        <f aca="false">E10-E20</f>
        <v>0.117</v>
      </c>
      <c r="F30" s="29" t="s">
        <v>68</v>
      </c>
      <c r="G30" s="35" t="n">
        <f aca="false">G10-G20</f>
        <v>0.005</v>
      </c>
      <c r="H30" s="35" t="n">
        <f aca="false">H10-H20</f>
        <v>-0.05</v>
      </c>
    </row>
    <row r="31" customFormat="false" ht="15" hidden="false" customHeight="false" outlineLevel="0" collapsed="false">
      <c r="B31" s="28" t="s">
        <v>36</v>
      </c>
      <c r="C31" s="35" t="n">
        <f aca="false">C11-C21</f>
        <v>-0.2</v>
      </c>
      <c r="D31" s="35" t="n">
        <f aca="false">D11-D21</f>
        <v>0.068</v>
      </c>
      <c r="E31" s="35" t="n">
        <f aca="false">E11-E21</f>
        <v>0.116</v>
      </c>
      <c r="F31" s="35" t="n">
        <f aca="false">F11-F21</f>
        <v>0.052</v>
      </c>
      <c r="G31" s="29" t="s">
        <v>68</v>
      </c>
      <c r="H31" s="35" t="n">
        <f aca="false">H11-H21</f>
        <v>-0.05</v>
      </c>
    </row>
    <row r="32" customFormat="false" ht="15" hidden="false" customHeight="false" outlineLevel="0" collapsed="false">
      <c r="B32" s="28" t="s">
        <v>37</v>
      </c>
      <c r="C32" s="35" t="n">
        <f aca="false">C12-C22</f>
        <v>-0.15</v>
      </c>
      <c r="D32" s="35" t="n">
        <f aca="false">D12-D22</f>
        <v>-0.113</v>
      </c>
      <c r="E32" s="35" t="n">
        <f aca="false">E12-E22</f>
        <v>-0.25</v>
      </c>
      <c r="F32" s="35" t="n">
        <f aca="false">F12-F22</f>
        <v>-0.05</v>
      </c>
      <c r="G32" s="35" t="n">
        <f aca="false">G12-G22</f>
        <v>-0.05</v>
      </c>
      <c r="H32" s="29" t="s">
        <v>68</v>
      </c>
    </row>
    <row r="35" customFormat="false" ht="15" hidden="false" customHeight="true" outlineLevel="0" collapsed="false">
      <c r="B35" s="3" t="s">
        <v>71</v>
      </c>
      <c r="C35" s="3"/>
      <c r="D35" s="3"/>
      <c r="E35" s="3"/>
      <c r="F35" s="3"/>
      <c r="G35" s="3"/>
      <c r="H35" s="3"/>
      <c r="I35" s="3"/>
      <c r="J35" s="3"/>
      <c r="K35" s="3"/>
      <c r="L35" s="3"/>
    </row>
    <row r="36" customFormat="false" ht="15" hidden="false" customHeight="false" outlineLevel="0" collapsed="false">
      <c r="B36" s="7" t="s">
        <v>72</v>
      </c>
      <c r="C36" s="7" t="s">
        <v>73</v>
      </c>
      <c r="D36" s="7" t="s">
        <v>74</v>
      </c>
      <c r="E36" s="7" t="s">
        <v>75</v>
      </c>
      <c r="F36" s="7" t="s">
        <v>47</v>
      </c>
      <c r="G36" s="7" t="s">
        <v>30</v>
      </c>
      <c r="H36" s="7" t="s">
        <v>76</v>
      </c>
    </row>
    <row r="37" customFormat="false" ht="30" hidden="false" customHeight="true" outlineLevel="0" collapsed="false">
      <c r="B37" s="20" t="n">
        <v>1</v>
      </c>
      <c r="C37" s="8" t="s">
        <v>36</v>
      </c>
      <c r="D37" s="8" t="s">
        <v>35</v>
      </c>
      <c r="E37" s="30" t="n">
        <v>0.432</v>
      </c>
      <c r="F37" s="34" t="n">
        <v>0.38</v>
      </c>
      <c r="G37" s="35" t="n">
        <f aca="false">E37-F37</f>
        <v>0.052</v>
      </c>
      <c r="H37" s="25" t="s">
        <v>77</v>
      </c>
      <c r="I37" s="25"/>
      <c r="J37" s="25"/>
      <c r="K37" s="25"/>
      <c r="L37" s="25"/>
    </row>
    <row r="38" customFormat="false" ht="30" hidden="false" customHeight="true" outlineLevel="0" collapsed="false">
      <c r="B38" s="20" t="n">
        <v>2</v>
      </c>
      <c r="C38" s="8" t="s">
        <v>35</v>
      </c>
      <c r="D38" s="8" t="s">
        <v>36</v>
      </c>
      <c r="E38" s="30" t="n">
        <v>0.405</v>
      </c>
      <c r="F38" s="34" t="n">
        <v>0.4</v>
      </c>
      <c r="G38" s="35" t="n">
        <f aca="false">E38-F38</f>
        <v>0.005</v>
      </c>
      <c r="H38" s="25" t="s">
        <v>78</v>
      </c>
      <c r="I38" s="25"/>
      <c r="J38" s="25"/>
      <c r="K38" s="25"/>
      <c r="L38" s="25"/>
    </row>
    <row r="39" customFormat="false" ht="30" hidden="false" customHeight="true" outlineLevel="0" collapsed="false">
      <c r="B39" s="20" t="n">
        <v>3</v>
      </c>
      <c r="C39" s="8" t="s">
        <v>35</v>
      </c>
      <c r="D39" s="8" t="s">
        <v>34</v>
      </c>
      <c r="E39" s="30" t="n">
        <v>0.367</v>
      </c>
      <c r="F39" s="34" t="n">
        <v>0.25</v>
      </c>
      <c r="G39" s="35" t="n">
        <f aca="false">E39-F39</f>
        <v>0.117</v>
      </c>
      <c r="H39" s="25" t="s">
        <v>79</v>
      </c>
      <c r="I39" s="25"/>
      <c r="J39" s="25"/>
      <c r="K39" s="25"/>
      <c r="L39" s="25"/>
    </row>
    <row r="40" customFormat="false" ht="30" hidden="false" customHeight="true" outlineLevel="0" collapsed="false">
      <c r="B40" s="20" t="n">
        <v>4</v>
      </c>
      <c r="C40" s="8" t="s">
        <v>33</v>
      </c>
      <c r="D40" s="8" t="s">
        <v>35</v>
      </c>
      <c r="E40" s="30" t="n">
        <v>0.3</v>
      </c>
      <c r="F40" s="34" t="n">
        <v>0.1</v>
      </c>
      <c r="G40" s="35" t="n">
        <f aca="false">E40-F40</f>
        <v>0.2</v>
      </c>
      <c r="H40" s="25" t="s">
        <v>80</v>
      </c>
      <c r="I40" s="25"/>
      <c r="J40" s="25"/>
      <c r="K40" s="25"/>
      <c r="L40" s="25"/>
    </row>
    <row r="41" customFormat="false" ht="30" hidden="false" customHeight="true" outlineLevel="0" collapsed="false">
      <c r="B41" s="20" t="n">
        <v>5</v>
      </c>
      <c r="C41" s="8" t="s">
        <v>33</v>
      </c>
      <c r="D41" s="8" t="s">
        <v>34</v>
      </c>
      <c r="E41" s="30" t="n">
        <v>0.266</v>
      </c>
      <c r="F41" s="34" t="n">
        <v>0.1</v>
      </c>
      <c r="G41" s="35" t="n">
        <f aca="false">E41-F41</f>
        <v>0.166</v>
      </c>
      <c r="H41" s="25" t="s">
        <v>81</v>
      </c>
      <c r="I41" s="25"/>
      <c r="J41" s="25"/>
      <c r="K41" s="25"/>
      <c r="L41" s="25"/>
    </row>
    <row r="42" customFormat="false" ht="30" hidden="false" customHeight="true" outlineLevel="0" collapsed="false">
      <c r="B42" s="20" t="n">
        <v>6</v>
      </c>
      <c r="C42" s="8" t="s">
        <v>36</v>
      </c>
      <c r="D42" s="8" t="s">
        <v>34</v>
      </c>
      <c r="E42" s="30" t="n">
        <v>0.266</v>
      </c>
      <c r="F42" s="34" t="n">
        <v>0.15</v>
      </c>
      <c r="G42" s="35" t="n">
        <f aca="false">E42-F42</f>
        <v>0.116</v>
      </c>
      <c r="H42" s="25" t="s">
        <v>82</v>
      </c>
      <c r="I42" s="25"/>
      <c r="J42" s="25"/>
      <c r="K42" s="25"/>
      <c r="L42" s="25"/>
    </row>
    <row r="43" customFormat="false" ht="30" hidden="false" customHeight="true" outlineLevel="0" collapsed="false">
      <c r="B43" s="20" t="n">
        <v>7</v>
      </c>
      <c r="C43" s="8" t="s">
        <v>34</v>
      </c>
      <c r="D43" s="8" t="s">
        <v>35</v>
      </c>
      <c r="E43" s="30" t="n">
        <v>0.237</v>
      </c>
      <c r="F43" s="34" t="n">
        <v>0.15</v>
      </c>
      <c r="G43" s="35" t="n">
        <f aca="false">E43-F43</f>
        <v>0.087</v>
      </c>
      <c r="H43" s="25" t="s">
        <v>83</v>
      </c>
      <c r="I43" s="25"/>
      <c r="J43" s="25"/>
      <c r="K43" s="25"/>
      <c r="L43" s="25"/>
    </row>
    <row r="44" customFormat="false" ht="30" hidden="false" customHeight="true" outlineLevel="0" collapsed="false">
      <c r="B44" s="20" t="n">
        <v>8</v>
      </c>
      <c r="C44" s="8" t="s">
        <v>35</v>
      </c>
      <c r="D44" s="8" t="s">
        <v>33</v>
      </c>
      <c r="E44" s="30" t="n">
        <v>0.2</v>
      </c>
      <c r="F44" s="34" t="n">
        <v>0.15</v>
      </c>
      <c r="G44" s="35" t="n">
        <f aca="false">E44-F44</f>
        <v>0.05</v>
      </c>
      <c r="H44" s="25" t="s">
        <v>84</v>
      </c>
      <c r="I44" s="25"/>
      <c r="J44" s="25"/>
      <c r="K44" s="25"/>
      <c r="L44" s="25"/>
    </row>
    <row r="45" customFormat="false" ht="30" hidden="false" customHeight="true" outlineLevel="0" collapsed="false">
      <c r="B45" s="20" t="n">
        <v>9</v>
      </c>
      <c r="C45" s="8" t="s">
        <v>34</v>
      </c>
      <c r="D45" s="8" t="s">
        <v>33</v>
      </c>
      <c r="E45" s="30" t="n">
        <v>0.183</v>
      </c>
      <c r="F45" s="34" t="n">
        <v>0.1</v>
      </c>
      <c r="G45" s="35" t="n">
        <f aca="false">E45-F45</f>
        <v>0.083</v>
      </c>
      <c r="H45" s="25" t="s">
        <v>85</v>
      </c>
      <c r="I45" s="25"/>
      <c r="J45" s="25"/>
      <c r="K45" s="25"/>
      <c r="L45" s="25"/>
    </row>
    <row r="46" customFormat="false" ht="30" hidden="false" customHeight="true" outlineLevel="0" collapsed="false">
      <c r="B46" s="20" t="n">
        <v>10</v>
      </c>
      <c r="C46" s="8" t="s">
        <v>33</v>
      </c>
      <c r="D46" s="8" t="s">
        <v>36</v>
      </c>
      <c r="E46" s="30" t="n">
        <v>0.163</v>
      </c>
      <c r="F46" s="34" t="n">
        <v>0.05</v>
      </c>
      <c r="G46" s="35" t="n">
        <f aca="false">E46-F46</f>
        <v>0.113</v>
      </c>
      <c r="H46" s="25" t="s">
        <v>86</v>
      </c>
      <c r="I46" s="25"/>
      <c r="J46" s="25"/>
      <c r="K46" s="25"/>
      <c r="L46" s="25"/>
    </row>
    <row r="47" customFormat="false" ht="30" hidden="false" customHeight="true" outlineLevel="0" collapsed="false">
      <c r="B47" s="20" t="n">
        <v>11</v>
      </c>
      <c r="C47" s="8" t="s">
        <v>34</v>
      </c>
      <c r="D47" s="8" t="s">
        <v>36</v>
      </c>
      <c r="E47" s="30" t="n">
        <v>0.148</v>
      </c>
      <c r="F47" s="34" t="n">
        <v>0.15</v>
      </c>
      <c r="G47" s="35" t="n">
        <f aca="false">E47-F47</f>
        <v>-0.002</v>
      </c>
      <c r="H47" s="25"/>
      <c r="I47" s="25"/>
      <c r="J47" s="25"/>
      <c r="K47" s="25"/>
      <c r="L47" s="25"/>
    </row>
    <row r="48" customFormat="false" ht="30" hidden="false" customHeight="true" outlineLevel="0" collapsed="false">
      <c r="B48" s="20" t="n">
        <v>12</v>
      </c>
      <c r="C48" s="8" t="s">
        <v>36</v>
      </c>
      <c r="D48" s="8" t="s">
        <v>33</v>
      </c>
      <c r="E48" s="30" t="n">
        <v>0.118</v>
      </c>
      <c r="F48" s="34" t="n">
        <v>0.05</v>
      </c>
      <c r="G48" s="35" t="n">
        <f aca="false">E48-F48</f>
        <v>0.068</v>
      </c>
      <c r="H48" s="25" t="s">
        <v>87</v>
      </c>
      <c r="I48" s="25"/>
      <c r="J48" s="25"/>
      <c r="K48" s="25"/>
      <c r="L48" s="25"/>
    </row>
  </sheetData>
  <mergeCells count="18">
    <mergeCell ref="B2:I2"/>
    <mergeCell ref="B3:I3"/>
    <mergeCell ref="B5:I5"/>
    <mergeCell ref="B15:I15"/>
    <mergeCell ref="B25:I25"/>
    <mergeCell ref="B35:L35"/>
    <mergeCell ref="H37:L37"/>
    <mergeCell ref="H38:L38"/>
    <mergeCell ref="H39:L39"/>
    <mergeCell ref="H40:L40"/>
    <mergeCell ref="H41:L41"/>
    <mergeCell ref="H42:L42"/>
    <mergeCell ref="H43:L43"/>
    <mergeCell ref="H44:L44"/>
    <mergeCell ref="H45:L45"/>
    <mergeCell ref="H46:L46"/>
    <mergeCell ref="H47:L47"/>
    <mergeCell ref="H48:L48"/>
  </mergeCells>
  <conditionalFormatting sqref="C7:H12">
    <cfRule type="colorScale" priority="2">
      <colorScale>
        <cfvo type="num" val="0"/>
        <cfvo type="num" val="0.2"/>
        <cfvo type="num" val="0.45"/>
        <color rgb="FFDBEAFE"/>
        <color rgb="FFFEF3C7"/>
        <color rgb="FFFECACA"/>
      </colorScale>
    </cfRule>
  </conditionalFormatting>
  <conditionalFormatting sqref="C27:H32">
    <cfRule type="colorScale" priority="3">
      <colorScale>
        <cfvo type="num" val="-0.25"/>
        <cfvo type="num" val="0"/>
        <cfvo type="num" val="0.25"/>
        <color rgb="FF3B82F6"/>
        <color rgb="FFFFFFFF"/>
        <color rgb="FFEF444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3" min="2" style="0" width="16"/>
    <col collapsed="false" customWidth="true" hidden="false" outlineLevel="0" max="9" min="4" style="0" width="13"/>
    <col collapsed="false" customWidth="true" hidden="false" outlineLevel="0" max="10" min="10" style="0" width="11"/>
  </cols>
  <sheetData>
    <row r="2" customFormat="false" ht="27.75" hidden="false" customHeight="true" outlineLevel="0" collapsed="false">
      <c r="B2" s="1" t="s">
        <v>88</v>
      </c>
      <c r="C2" s="1"/>
      <c r="D2" s="1"/>
      <c r="E2" s="1"/>
      <c r="F2" s="1"/>
      <c r="G2" s="1"/>
      <c r="H2" s="1"/>
      <c r="I2" s="1"/>
    </row>
    <row r="4" customFormat="false" ht="15" hidden="false" customHeight="false" outlineLevel="0" collapsed="false">
      <c r="B4" s="36" t="s">
        <v>89</v>
      </c>
      <c r="C4" s="36"/>
      <c r="D4" s="36"/>
      <c r="E4" s="36"/>
      <c r="F4" s="36"/>
      <c r="G4" s="36"/>
      <c r="H4" s="36"/>
      <c r="I4" s="36"/>
    </row>
    <row r="6" customFormat="false" ht="27.75" hidden="false" customHeight="true" outlineLevel="0" collapsed="false">
      <c r="B6" s="7" t="s">
        <v>73</v>
      </c>
      <c r="C6" s="7" t="s">
        <v>74</v>
      </c>
      <c r="D6" s="7" t="s">
        <v>90</v>
      </c>
      <c r="E6" s="7" t="s">
        <v>91</v>
      </c>
      <c r="F6" s="7" t="s">
        <v>92</v>
      </c>
      <c r="G6" s="7" t="s">
        <v>93</v>
      </c>
      <c r="H6" s="7" t="s">
        <v>94</v>
      </c>
      <c r="I6" s="7" t="s">
        <v>95</v>
      </c>
      <c r="J6" s="7" t="s">
        <v>46</v>
      </c>
    </row>
    <row r="7" customFormat="false" ht="15" hidden="false" customHeight="false" outlineLevel="0" collapsed="false">
      <c r="B7" s="8" t="s">
        <v>32</v>
      </c>
      <c r="C7" s="8" t="s">
        <v>33</v>
      </c>
      <c r="D7" s="19" t="n">
        <v>184</v>
      </c>
      <c r="E7" s="21" t="n">
        <v>0.447320005398513</v>
      </c>
      <c r="F7" s="21" t="n">
        <v>0</v>
      </c>
      <c r="G7" s="21" t="n">
        <v>0.589767824619589</v>
      </c>
      <c r="H7" s="21" t="n">
        <v>0</v>
      </c>
      <c r="I7" s="22" t="n">
        <v>0.05</v>
      </c>
      <c r="J7" s="23" t="n">
        <v>0.05</v>
      </c>
    </row>
    <row r="8" customFormat="false" ht="15" hidden="false" customHeight="false" outlineLevel="0" collapsed="false">
      <c r="B8" s="8" t="s">
        <v>32</v>
      </c>
      <c r="C8" s="8" t="s">
        <v>34</v>
      </c>
      <c r="D8" s="19" t="n">
        <v>368</v>
      </c>
      <c r="E8" s="21" t="n">
        <v>0.429124341622305</v>
      </c>
      <c r="F8" s="21" t="n">
        <v>0</v>
      </c>
      <c r="G8" s="21" t="n">
        <v>0.834057656228299</v>
      </c>
      <c r="H8" s="21" t="n">
        <v>0</v>
      </c>
      <c r="I8" s="22" t="n">
        <v>0</v>
      </c>
      <c r="J8" s="23" t="n">
        <v>0</v>
      </c>
    </row>
    <row r="9" customFormat="false" ht="15" hidden="false" customHeight="false" outlineLevel="0" collapsed="false">
      <c r="B9" s="8" t="s">
        <v>32</v>
      </c>
      <c r="C9" s="8" t="s">
        <v>35</v>
      </c>
      <c r="D9" s="19" t="n">
        <v>276</v>
      </c>
      <c r="E9" s="21" t="n">
        <v>0.426445151252961</v>
      </c>
      <c r="F9" s="21" t="n">
        <v>0</v>
      </c>
      <c r="G9" s="21" t="n">
        <v>0.722315118514615</v>
      </c>
      <c r="H9" s="21" t="n">
        <v>0</v>
      </c>
      <c r="I9" s="22" t="n">
        <v>0</v>
      </c>
      <c r="J9" s="23" t="n">
        <v>0</v>
      </c>
    </row>
    <row r="10" customFormat="false" ht="15" hidden="false" customHeight="false" outlineLevel="0" collapsed="false">
      <c r="B10" s="8" t="s">
        <v>32</v>
      </c>
      <c r="C10" s="8" t="s">
        <v>36</v>
      </c>
      <c r="D10" s="19" t="n">
        <v>253</v>
      </c>
      <c r="E10" s="21" t="n">
        <v>0.381258219580776</v>
      </c>
      <c r="F10" s="21" t="n">
        <v>0</v>
      </c>
      <c r="G10" s="21" t="n">
        <v>0.691564074808125</v>
      </c>
      <c r="H10" s="21" t="n">
        <v>0</v>
      </c>
      <c r="I10" s="22" t="n">
        <v>0.05</v>
      </c>
      <c r="J10" s="23" t="n">
        <v>0.05</v>
      </c>
    </row>
    <row r="11" customFormat="false" ht="15" hidden="false" customHeight="false" outlineLevel="0" collapsed="false">
      <c r="B11" s="8" t="s">
        <v>32</v>
      </c>
      <c r="C11" s="8" t="s">
        <v>37</v>
      </c>
      <c r="D11" s="19" t="n">
        <v>276</v>
      </c>
      <c r="E11" s="21" t="n">
        <v>0.429521110501723</v>
      </c>
      <c r="F11" s="21" t="n">
        <v>0</v>
      </c>
      <c r="G11" s="21" t="n">
        <v>0.722315118514615</v>
      </c>
      <c r="H11" s="21" t="n">
        <v>0</v>
      </c>
      <c r="I11" s="22" t="n">
        <v>0.08</v>
      </c>
      <c r="J11" s="23" t="n">
        <v>0.08</v>
      </c>
    </row>
    <row r="12" customFormat="false" ht="15" hidden="false" customHeight="false" outlineLevel="0" collapsed="false">
      <c r="B12" s="8" t="s">
        <v>33</v>
      </c>
      <c r="C12" s="8" t="s">
        <v>32</v>
      </c>
      <c r="D12" s="19" t="n">
        <v>184</v>
      </c>
      <c r="E12" s="21" t="n">
        <v>0.447320005398513</v>
      </c>
      <c r="F12" s="21" t="n">
        <v>0</v>
      </c>
      <c r="G12" s="21" t="n">
        <v>1.5</v>
      </c>
      <c r="H12" s="21" t="n">
        <v>0</v>
      </c>
      <c r="I12" s="22" t="n">
        <v>0</v>
      </c>
      <c r="J12" s="23" t="n">
        <v>0</v>
      </c>
    </row>
    <row r="13" customFormat="false" ht="15" hidden="false" customHeight="false" outlineLevel="0" collapsed="false">
      <c r="B13" s="8" t="s">
        <v>33</v>
      </c>
      <c r="C13" s="8" t="s">
        <v>34</v>
      </c>
      <c r="D13" s="19" t="n">
        <v>128</v>
      </c>
      <c r="E13" s="21" t="n">
        <v>0.581399737386313</v>
      </c>
      <c r="F13" s="21" t="n">
        <v>0.187794773842861</v>
      </c>
      <c r="G13" s="21" t="n">
        <v>1.4142135623731</v>
      </c>
      <c r="H13" s="21" t="n">
        <v>0.265581916111363</v>
      </c>
      <c r="I13" s="22" t="n">
        <v>0</v>
      </c>
      <c r="J13" s="23" t="n">
        <v>0.266</v>
      </c>
    </row>
    <row r="14" customFormat="false" ht="15" hidden="false" customHeight="false" outlineLevel="0" collapsed="false">
      <c r="B14" s="8" t="s">
        <v>33</v>
      </c>
      <c r="C14" s="8" t="s">
        <v>35</v>
      </c>
      <c r="D14" s="19" t="n">
        <v>96</v>
      </c>
      <c r="E14" s="21" t="n">
        <v>0.610769602083274</v>
      </c>
      <c r="F14" s="21" t="n">
        <v>0.244780781088668</v>
      </c>
      <c r="G14" s="21" t="n">
        <v>1.22474487139159</v>
      </c>
      <c r="H14" s="21" t="n">
        <v>0.299794006253573</v>
      </c>
      <c r="I14" s="22" t="n">
        <v>0</v>
      </c>
      <c r="J14" s="23" t="n">
        <v>0.3</v>
      </c>
    </row>
    <row r="15" customFormat="false" ht="15" hidden="false" customHeight="false" outlineLevel="0" collapsed="false">
      <c r="B15" s="8" t="s">
        <v>33</v>
      </c>
      <c r="C15" s="8" t="s">
        <v>36</v>
      </c>
      <c r="D15" s="19" t="n">
        <v>88</v>
      </c>
      <c r="E15" s="21" t="n">
        <v>0.556148925161527</v>
      </c>
      <c r="F15" s="21" t="n">
        <v>0.138800916252736</v>
      </c>
      <c r="G15" s="21" t="n">
        <v>1.17260393995586</v>
      </c>
      <c r="H15" s="21" t="n">
        <v>0.162758501267442</v>
      </c>
      <c r="I15" s="22" t="n">
        <v>0</v>
      </c>
      <c r="J15" s="23" t="n">
        <v>0.163</v>
      </c>
    </row>
    <row r="16" customFormat="false" ht="15" hidden="false" customHeight="false" outlineLevel="0" collapsed="false">
      <c r="B16" s="8" t="s">
        <v>33</v>
      </c>
      <c r="C16" s="8" t="s">
        <v>37</v>
      </c>
      <c r="D16" s="19" t="n">
        <v>96</v>
      </c>
      <c r="E16" s="21" t="n">
        <v>0.488877901540381</v>
      </c>
      <c r="F16" s="21" t="n">
        <v>0.00827573069054086</v>
      </c>
      <c r="G16" s="21" t="n">
        <v>1.22474487139159</v>
      </c>
      <c r="H16" s="21" t="n">
        <v>0.0101356587202579</v>
      </c>
      <c r="I16" s="22" t="n">
        <v>0.08</v>
      </c>
      <c r="J16" s="23" t="n">
        <v>0.09</v>
      </c>
    </row>
    <row r="17" customFormat="false" ht="15" hidden="false" customHeight="false" outlineLevel="0" collapsed="false">
      <c r="B17" s="8" t="s">
        <v>34</v>
      </c>
      <c r="C17" s="8" t="s">
        <v>32</v>
      </c>
      <c r="D17" s="19" t="n">
        <v>368</v>
      </c>
      <c r="E17" s="21" t="n">
        <v>0.429124341622305</v>
      </c>
      <c r="F17" s="21" t="n">
        <v>0</v>
      </c>
      <c r="G17" s="21" t="n">
        <v>1.19895788082818</v>
      </c>
      <c r="H17" s="21" t="n">
        <v>0</v>
      </c>
      <c r="I17" s="22" t="n">
        <v>0</v>
      </c>
      <c r="J17" s="23" t="n">
        <v>0</v>
      </c>
    </row>
    <row r="18" customFormat="false" ht="15" hidden="false" customHeight="false" outlineLevel="0" collapsed="false">
      <c r="B18" s="8" t="s">
        <v>34</v>
      </c>
      <c r="C18" s="8" t="s">
        <v>33</v>
      </c>
      <c r="D18" s="19" t="n">
        <v>128</v>
      </c>
      <c r="E18" s="21" t="n">
        <v>0.581399737386313</v>
      </c>
      <c r="F18" s="21" t="n">
        <v>0.187794773842861</v>
      </c>
      <c r="G18" s="21" t="n">
        <v>0.707106781186548</v>
      </c>
      <c r="H18" s="21" t="n">
        <v>0.132790958055681</v>
      </c>
      <c r="I18" s="22" t="n">
        <v>0.05</v>
      </c>
      <c r="J18" s="23" t="n">
        <v>0.183</v>
      </c>
    </row>
    <row r="19" customFormat="false" ht="15" hidden="false" customHeight="false" outlineLevel="0" collapsed="false">
      <c r="B19" s="8" t="s">
        <v>34</v>
      </c>
      <c r="C19" s="8" t="s">
        <v>35</v>
      </c>
      <c r="D19" s="19" t="n">
        <v>192</v>
      </c>
      <c r="E19" s="21" t="n">
        <v>0.625888956894277</v>
      </c>
      <c r="F19" s="21" t="n">
        <v>0.274116689568385</v>
      </c>
      <c r="G19" s="21" t="n">
        <v>0.866025403784439</v>
      </c>
      <c r="H19" s="21" t="n">
        <v>0.237392016767514</v>
      </c>
      <c r="I19" s="22" t="n">
        <v>0</v>
      </c>
      <c r="J19" s="23" t="n">
        <v>0.237</v>
      </c>
    </row>
    <row r="20" customFormat="false" ht="15" hidden="false" customHeight="false" outlineLevel="0" collapsed="false">
      <c r="B20" s="8" t="s">
        <v>34</v>
      </c>
      <c r="C20" s="8" t="s">
        <v>36</v>
      </c>
      <c r="D20" s="19" t="n">
        <v>176</v>
      </c>
      <c r="E20" s="21" t="n">
        <v>0.576718934029067</v>
      </c>
      <c r="F20" s="21" t="n">
        <v>0.178712665471425</v>
      </c>
      <c r="G20" s="21" t="n">
        <v>0.82915619758885</v>
      </c>
      <c r="H20" s="21" t="n">
        <v>0.148180714163255</v>
      </c>
      <c r="I20" s="22" t="n">
        <v>0</v>
      </c>
      <c r="J20" s="23" t="n">
        <v>0.148</v>
      </c>
    </row>
    <row r="21" customFormat="false" ht="15" hidden="false" customHeight="false" outlineLevel="0" collapsed="false">
      <c r="B21" s="8" t="s">
        <v>34</v>
      </c>
      <c r="C21" s="8" t="s">
        <v>37</v>
      </c>
      <c r="D21" s="19" t="n">
        <v>192</v>
      </c>
      <c r="E21" s="21" t="n">
        <v>0.461325438491747</v>
      </c>
      <c r="F21" s="21" t="n">
        <v>0</v>
      </c>
      <c r="G21" s="21" t="n">
        <v>0.866025403784439</v>
      </c>
      <c r="H21" s="21" t="n">
        <v>0</v>
      </c>
      <c r="I21" s="22" t="n">
        <v>0.08</v>
      </c>
      <c r="J21" s="23" t="n">
        <v>0.08</v>
      </c>
    </row>
    <row r="22" customFormat="false" ht="15" hidden="false" customHeight="false" outlineLevel="0" collapsed="false">
      <c r="B22" s="8" t="s">
        <v>35</v>
      </c>
      <c r="C22" s="8" t="s">
        <v>32</v>
      </c>
      <c r="D22" s="19" t="n">
        <v>276</v>
      </c>
      <c r="E22" s="21" t="n">
        <v>0.426445151252961</v>
      </c>
      <c r="F22" s="21" t="n">
        <v>0</v>
      </c>
      <c r="G22" s="21" t="n">
        <v>1.38443731048635</v>
      </c>
      <c r="H22" s="21" t="n">
        <v>0</v>
      </c>
      <c r="I22" s="22" t="n">
        <v>0</v>
      </c>
      <c r="J22" s="23" t="n">
        <v>0</v>
      </c>
    </row>
    <row r="23" customFormat="false" ht="15" hidden="false" customHeight="false" outlineLevel="0" collapsed="false">
      <c r="B23" s="8" t="s">
        <v>35</v>
      </c>
      <c r="C23" s="8" t="s">
        <v>33</v>
      </c>
      <c r="D23" s="19" t="n">
        <v>96</v>
      </c>
      <c r="E23" s="21" t="n">
        <v>0.610769602083274</v>
      </c>
      <c r="F23" s="21" t="n">
        <v>0.244780781088668</v>
      </c>
      <c r="G23" s="21" t="n">
        <v>0.816496580927726</v>
      </c>
      <c r="H23" s="21" t="n">
        <v>0.199862670835716</v>
      </c>
      <c r="I23" s="22" t="n">
        <v>0</v>
      </c>
      <c r="J23" s="23" t="n">
        <v>0.2</v>
      </c>
    </row>
    <row r="24" customFormat="false" ht="15" hidden="false" customHeight="false" outlineLevel="0" collapsed="false">
      <c r="B24" s="8" t="s">
        <v>35</v>
      </c>
      <c r="C24" s="8" t="s">
        <v>34</v>
      </c>
      <c r="D24" s="19" t="n">
        <v>192</v>
      </c>
      <c r="E24" s="21" t="n">
        <v>0.625888956894277</v>
      </c>
      <c r="F24" s="21" t="n">
        <v>0.274116689568385</v>
      </c>
      <c r="G24" s="21" t="n">
        <v>1.15470053837925</v>
      </c>
      <c r="H24" s="21" t="n">
        <v>0.316522689023352</v>
      </c>
      <c r="I24" s="22" t="n">
        <v>0.05</v>
      </c>
      <c r="J24" s="23" t="n">
        <v>0.367</v>
      </c>
    </row>
    <row r="25" customFormat="false" ht="15" hidden="false" customHeight="false" outlineLevel="0" collapsed="false">
      <c r="B25" s="8" t="s">
        <v>35</v>
      </c>
      <c r="C25" s="8" t="s">
        <v>36</v>
      </c>
      <c r="D25" s="19" t="n">
        <v>132</v>
      </c>
      <c r="E25" s="21" t="n">
        <v>0.648538255197361</v>
      </c>
      <c r="F25" s="21" t="n">
        <v>0.318062859921207</v>
      </c>
      <c r="G25" s="21" t="n">
        <v>0.957427107756338</v>
      </c>
      <c r="H25" s="21" t="n">
        <v>0.30452200405907</v>
      </c>
      <c r="I25" s="22" t="n">
        <v>0.1</v>
      </c>
      <c r="J25" s="23" t="n">
        <v>0.405</v>
      </c>
    </row>
    <row r="26" customFormat="false" ht="15" hidden="false" customHeight="false" outlineLevel="0" collapsed="false">
      <c r="B26" s="8" t="s">
        <v>35</v>
      </c>
      <c r="C26" s="8" t="s">
        <v>37</v>
      </c>
      <c r="D26" s="19" t="n">
        <v>144</v>
      </c>
      <c r="E26" s="21" t="n">
        <v>0.460763922450772</v>
      </c>
      <c r="F26" s="21" t="n">
        <v>0</v>
      </c>
      <c r="G26" s="21" t="n">
        <v>1</v>
      </c>
      <c r="H26" s="21" t="n">
        <v>0</v>
      </c>
      <c r="I26" s="22" t="n">
        <v>0</v>
      </c>
      <c r="J26" s="23" t="n">
        <v>0</v>
      </c>
    </row>
    <row r="27" customFormat="false" ht="15" hidden="false" customHeight="false" outlineLevel="0" collapsed="false">
      <c r="B27" s="8" t="s">
        <v>36</v>
      </c>
      <c r="C27" s="8" t="s">
        <v>32</v>
      </c>
      <c r="D27" s="19" t="n">
        <v>253</v>
      </c>
      <c r="E27" s="21" t="n">
        <v>0.381258219580776</v>
      </c>
      <c r="F27" s="21" t="n">
        <v>0</v>
      </c>
      <c r="G27" s="21" t="n">
        <v>1.44599761096244</v>
      </c>
      <c r="H27" s="21" t="n">
        <v>0</v>
      </c>
      <c r="I27" s="22" t="n">
        <v>0.05</v>
      </c>
      <c r="J27" s="23" t="n">
        <v>0.05</v>
      </c>
    </row>
    <row r="28" customFormat="false" ht="15" hidden="false" customHeight="false" outlineLevel="0" collapsed="false">
      <c r="B28" s="8" t="s">
        <v>36</v>
      </c>
      <c r="C28" s="8" t="s">
        <v>33</v>
      </c>
      <c r="D28" s="19" t="n">
        <v>88</v>
      </c>
      <c r="E28" s="21" t="n">
        <v>0.556148925161527</v>
      </c>
      <c r="F28" s="21" t="n">
        <v>0.138800916252736</v>
      </c>
      <c r="G28" s="21" t="n">
        <v>0.852802865422442</v>
      </c>
      <c r="H28" s="21" t="n">
        <v>0.118369819103594</v>
      </c>
      <c r="I28" s="22" t="n">
        <v>0</v>
      </c>
      <c r="J28" s="23" t="n">
        <v>0.118</v>
      </c>
    </row>
    <row r="29" customFormat="false" ht="15" hidden="false" customHeight="false" outlineLevel="0" collapsed="false">
      <c r="B29" s="8" t="s">
        <v>36</v>
      </c>
      <c r="C29" s="8" t="s">
        <v>34</v>
      </c>
      <c r="D29" s="19" t="n">
        <v>176</v>
      </c>
      <c r="E29" s="21" t="n">
        <v>0.576718934029067</v>
      </c>
      <c r="F29" s="21" t="n">
        <v>0.178712665471425</v>
      </c>
      <c r="G29" s="21" t="n">
        <v>1.20604537831106</v>
      </c>
      <c r="H29" s="21" t="n">
        <v>0.215535584237462</v>
      </c>
      <c r="I29" s="22" t="n">
        <v>0.05</v>
      </c>
      <c r="J29" s="23" t="n">
        <v>0.266</v>
      </c>
    </row>
    <row r="30" customFormat="false" ht="15" hidden="false" customHeight="false" outlineLevel="0" collapsed="false">
      <c r="B30" s="8" t="s">
        <v>36</v>
      </c>
      <c r="C30" s="8" t="s">
        <v>35</v>
      </c>
      <c r="D30" s="19" t="n">
        <v>132</v>
      </c>
      <c r="E30" s="21" t="n">
        <v>0.648538255197361</v>
      </c>
      <c r="F30" s="21" t="n">
        <v>0.318062859921207</v>
      </c>
      <c r="G30" s="21" t="n">
        <v>1.04446593573419</v>
      </c>
      <c r="H30" s="21" t="n">
        <v>0.332205822609895</v>
      </c>
      <c r="I30" s="22" t="n">
        <v>0.1</v>
      </c>
      <c r="J30" s="23" t="n">
        <v>0.432</v>
      </c>
    </row>
    <row r="31" customFormat="false" ht="15" hidden="false" customHeight="false" outlineLevel="0" collapsed="false">
      <c r="B31" s="8" t="s">
        <v>36</v>
      </c>
      <c r="C31" s="8" t="s">
        <v>37</v>
      </c>
      <c r="D31" s="19" t="n">
        <v>132</v>
      </c>
      <c r="E31" s="21" t="n">
        <v>0.413489411910415</v>
      </c>
      <c r="F31" s="21" t="n">
        <v>0</v>
      </c>
      <c r="G31" s="21" t="n">
        <v>1.04446593573419</v>
      </c>
      <c r="H31" s="21" t="n">
        <v>0</v>
      </c>
      <c r="I31" s="22" t="n">
        <v>0</v>
      </c>
      <c r="J31" s="23" t="n">
        <v>0</v>
      </c>
    </row>
    <row r="32" customFormat="false" ht="15" hidden="false" customHeight="false" outlineLevel="0" collapsed="false">
      <c r="B32" s="8" t="s">
        <v>37</v>
      </c>
      <c r="C32" s="8" t="s">
        <v>32</v>
      </c>
      <c r="D32" s="19" t="n">
        <v>276</v>
      </c>
      <c r="E32" s="21" t="n">
        <v>0.429521110501723</v>
      </c>
      <c r="F32" s="21" t="n">
        <v>0</v>
      </c>
      <c r="G32" s="21" t="n">
        <v>1.38443731048635</v>
      </c>
      <c r="H32" s="21" t="n">
        <v>0</v>
      </c>
      <c r="I32" s="22" t="n">
        <v>0.05</v>
      </c>
      <c r="J32" s="23" t="n">
        <v>0.05</v>
      </c>
    </row>
    <row r="33" customFormat="false" ht="15" hidden="false" customHeight="false" outlineLevel="0" collapsed="false">
      <c r="B33" s="8" t="s">
        <v>37</v>
      </c>
      <c r="C33" s="8" t="s">
        <v>33</v>
      </c>
      <c r="D33" s="19" t="n">
        <v>96</v>
      </c>
      <c r="E33" s="21" t="n">
        <v>0.488877901540381</v>
      </c>
      <c r="F33" s="21" t="n">
        <v>0.00827573069054086</v>
      </c>
      <c r="G33" s="21" t="n">
        <v>0.816496580927726</v>
      </c>
      <c r="H33" s="21" t="n">
        <v>0.00675710581350526</v>
      </c>
      <c r="I33" s="22" t="n">
        <v>0.08</v>
      </c>
      <c r="J33" s="23" t="n">
        <v>0.087</v>
      </c>
    </row>
    <row r="34" customFormat="false" ht="15" hidden="false" customHeight="false" outlineLevel="0" collapsed="false">
      <c r="B34" s="8" t="s">
        <v>37</v>
      </c>
      <c r="C34" s="8" t="s">
        <v>34</v>
      </c>
      <c r="D34" s="19" t="n">
        <v>192</v>
      </c>
      <c r="E34" s="21" t="n">
        <v>0.461325438491747</v>
      </c>
      <c r="F34" s="21" t="n">
        <v>0</v>
      </c>
      <c r="G34" s="21" t="n">
        <v>1.15470053837925</v>
      </c>
      <c r="H34" s="21" t="n">
        <v>0</v>
      </c>
      <c r="I34" s="22" t="n">
        <v>0</v>
      </c>
      <c r="J34" s="23" t="n">
        <v>0</v>
      </c>
    </row>
    <row r="35" customFormat="false" ht="15" hidden="false" customHeight="false" outlineLevel="0" collapsed="false">
      <c r="B35" s="8" t="s">
        <v>37</v>
      </c>
      <c r="C35" s="8" t="s">
        <v>35</v>
      </c>
      <c r="D35" s="19" t="n">
        <v>144</v>
      </c>
      <c r="E35" s="21" t="n">
        <v>0.460763922450772</v>
      </c>
      <c r="F35" s="21" t="n">
        <v>0</v>
      </c>
      <c r="G35" s="21" t="n">
        <v>1</v>
      </c>
      <c r="H35" s="21" t="n">
        <v>0</v>
      </c>
      <c r="I35" s="22" t="n">
        <v>0</v>
      </c>
      <c r="J35" s="23" t="n">
        <v>0</v>
      </c>
    </row>
    <row r="36" customFormat="false" ht="15" hidden="false" customHeight="false" outlineLevel="0" collapsed="false">
      <c r="B36" s="8" t="s">
        <v>37</v>
      </c>
      <c r="C36" s="8" t="s">
        <v>36</v>
      </c>
      <c r="D36" s="19" t="n">
        <v>132</v>
      </c>
      <c r="E36" s="21" t="n">
        <v>0.413489411910415</v>
      </c>
      <c r="F36" s="21" t="n">
        <v>0</v>
      </c>
      <c r="G36" s="21" t="n">
        <v>0.957427107756338</v>
      </c>
      <c r="H36" s="21" t="n">
        <v>0</v>
      </c>
      <c r="I36" s="22" t="n">
        <v>0</v>
      </c>
      <c r="J36" s="23" t="n">
        <v>0</v>
      </c>
    </row>
  </sheetData>
  <mergeCells count="2">
    <mergeCell ref="B2:I2"/>
    <mergeCell ref="B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3" min="2" style="0" width="14"/>
    <col collapsed="false" customWidth="true" hidden="false" outlineLevel="0" max="4" min="4" style="0" width="11"/>
    <col collapsed="false" customWidth="true" hidden="false" outlineLevel="0" max="5" min="5" style="0" width="80"/>
  </cols>
  <sheetData>
    <row r="2" customFormat="false" ht="27.75" hidden="false" customHeight="true" outlineLevel="0" collapsed="false">
      <c r="B2" s="1" t="s">
        <v>96</v>
      </c>
      <c r="C2" s="1"/>
      <c r="D2" s="1"/>
      <c r="E2" s="1"/>
    </row>
    <row r="4" customFormat="false" ht="15" hidden="false" customHeight="true" outlineLevel="0" collapsed="false">
      <c r="B4" s="3" t="s">
        <v>97</v>
      </c>
      <c r="C4" s="3"/>
      <c r="D4" s="3"/>
      <c r="E4" s="3"/>
    </row>
    <row r="5" customFormat="false" ht="15" hidden="false" customHeight="false" outlineLevel="0" collapsed="false">
      <c r="B5" s="7" t="s">
        <v>26</v>
      </c>
      <c r="C5" s="7"/>
      <c r="D5" s="7" t="s">
        <v>98</v>
      </c>
      <c r="E5" s="7" t="s">
        <v>48</v>
      </c>
    </row>
    <row r="6" customFormat="false" ht="49.5" hidden="false" customHeight="true" outlineLevel="0" collapsed="false">
      <c r="B6" s="8" t="s">
        <v>32</v>
      </c>
      <c r="D6" s="37" t="n">
        <v>-0.03</v>
      </c>
      <c r="E6" s="25" t="s">
        <v>99</v>
      </c>
    </row>
    <row r="7" customFormat="false" ht="49.5" hidden="false" customHeight="true" outlineLevel="0" collapsed="false">
      <c r="B7" s="8" t="s">
        <v>33</v>
      </c>
      <c r="D7" s="38" t="n">
        <v>0</v>
      </c>
      <c r="E7" s="25" t="s">
        <v>100</v>
      </c>
    </row>
    <row r="8" customFormat="false" ht="49.5" hidden="false" customHeight="true" outlineLevel="0" collapsed="false">
      <c r="B8" s="8" t="s">
        <v>34</v>
      </c>
      <c r="D8" s="38" t="n">
        <v>0.05</v>
      </c>
      <c r="E8" s="25" t="s">
        <v>101</v>
      </c>
    </row>
    <row r="9" customFormat="false" ht="49.5" hidden="false" customHeight="true" outlineLevel="0" collapsed="false">
      <c r="B9" s="8" t="s">
        <v>35</v>
      </c>
      <c r="D9" s="38" t="n">
        <v>0.05</v>
      </c>
      <c r="E9" s="25" t="s">
        <v>102</v>
      </c>
    </row>
    <row r="10" customFormat="false" ht="49.5" hidden="false" customHeight="true" outlineLevel="0" collapsed="false">
      <c r="B10" s="8" t="s">
        <v>36</v>
      </c>
      <c r="D10" s="38" t="n">
        <v>0.05</v>
      </c>
      <c r="E10" s="25" t="s">
        <v>103</v>
      </c>
    </row>
    <row r="11" customFormat="false" ht="49.5" hidden="false" customHeight="true" outlineLevel="0" collapsed="false">
      <c r="B11" s="8" t="s">
        <v>37</v>
      </c>
      <c r="D11" s="37" t="n">
        <v>-0.05</v>
      </c>
      <c r="E11" s="25" t="s">
        <v>104</v>
      </c>
    </row>
    <row r="14" customFormat="false" ht="15" hidden="false" customHeight="true" outlineLevel="0" collapsed="false">
      <c r="B14" s="3" t="s">
        <v>105</v>
      </c>
      <c r="C14" s="3"/>
      <c r="D14" s="3"/>
      <c r="E14" s="3"/>
    </row>
    <row r="15" customFormat="false" ht="15" hidden="false" customHeight="false" outlineLevel="0" collapsed="false">
      <c r="B15" s="7" t="s">
        <v>73</v>
      </c>
      <c r="C15" s="7" t="s">
        <v>74</v>
      </c>
      <c r="D15" s="7" t="s">
        <v>98</v>
      </c>
      <c r="E15" s="7" t="s">
        <v>48</v>
      </c>
    </row>
    <row r="16" customFormat="false" ht="34.5" hidden="false" customHeight="true" outlineLevel="0" collapsed="false">
      <c r="B16" s="8" t="s">
        <v>32</v>
      </c>
      <c r="C16" s="8" t="s">
        <v>33</v>
      </c>
      <c r="D16" s="38" t="n">
        <v>0.05</v>
      </c>
      <c r="E16" s="25" t="s">
        <v>106</v>
      </c>
    </row>
    <row r="17" customFormat="false" ht="34.5" hidden="false" customHeight="true" outlineLevel="0" collapsed="false">
      <c r="B17" s="8" t="s">
        <v>32</v>
      </c>
      <c r="C17" s="8" t="s">
        <v>36</v>
      </c>
      <c r="D17" s="38" t="n">
        <v>0.05</v>
      </c>
      <c r="E17" s="25" t="s">
        <v>107</v>
      </c>
    </row>
    <row r="18" customFormat="false" ht="34.5" hidden="false" customHeight="true" outlineLevel="0" collapsed="false">
      <c r="B18" s="8" t="s">
        <v>32</v>
      </c>
      <c r="C18" s="8" t="s">
        <v>37</v>
      </c>
      <c r="D18" s="38" t="n">
        <v>0.08</v>
      </c>
      <c r="E18" s="25" t="s">
        <v>108</v>
      </c>
    </row>
    <row r="19" customFormat="false" ht="34.5" hidden="false" customHeight="true" outlineLevel="0" collapsed="false">
      <c r="B19" s="8" t="s">
        <v>33</v>
      </c>
      <c r="C19" s="8" t="s">
        <v>37</v>
      </c>
      <c r="D19" s="38" t="n">
        <v>0.08</v>
      </c>
      <c r="E19" s="25" t="s">
        <v>109</v>
      </c>
    </row>
    <row r="20" customFormat="false" ht="34.5" hidden="false" customHeight="true" outlineLevel="0" collapsed="false">
      <c r="B20" s="8" t="s">
        <v>34</v>
      </c>
      <c r="C20" s="8" t="s">
        <v>33</v>
      </c>
      <c r="D20" s="38" t="n">
        <v>0.05</v>
      </c>
      <c r="E20" s="25" t="s">
        <v>110</v>
      </c>
    </row>
    <row r="21" customFormat="false" ht="34.5" hidden="false" customHeight="true" outlineLevel="0" collapsed="false">
      <c r="B21" s="8" t="s">
        <v>34</v>
      </c>
      <c r="C21" s="8" t="s">
        <v>37</v>
      </c>
      <c r="D21" s="38" t="n">
        <v>0.08</v>
      </c>
      <c r="E21" s="25" t="s">
        <v>111</v>
      </c>
    </row>
    <row r="22" customFormat="false" ht="34.5" hidden="false" customHeight="true" outlineLevel="0" collapsed="false">
      <c r="B22" s="8" t="s">
        <v>35</v>
      </c>
      <c r="C22" s="8" t="s">
        <v>34</v>
      </c>
      <c r="D22" s="38" t="n">
        <v>0.05</v>
      </c>
      <c r="E22" s="25" t="s">
        <v>112</v>
      </c>
    </row>
    <row r="23" customFormat="false" ht="34.5" hidden="false" customHeight="true" outlineLevel="0" collapsed="false">
      <c r="B23" s="8" t="s">
        <v>35</v>
      </c>
      <c r="C23" s="8" t="s">
        <v>36</v>
      </c>
      <c r="D23" s="38" t="n">
        <v>0.1</v>
      </c>
      <c r="E23" s="25" t="s">
        <v>113</v>
      </c>
    </row>
    <row r="24" customFormat="false" ht="34.5" hidden="false" customHeight="true" outlineLevel="0" collapsed="false">
      <c r="B24" s="8" t="s">
        <v>36</v>
      </c>
      <c r="C24" s="8" t="s">
        <v>32</v>
      </c>
      <c r="D24" s="38" t="n">
        <v>0.05</v>
      </c>
      <c r="E24" s="25" t="s">
        <v>114</v>
      </c>
    </row>
    <row r="25" customFormat="false" ht="34.5" hidden="false" customHeight="true" outlineLevel="0" collapsed="false">
      <c r="B25" s="8" t="s">
        <v>36</v>
      </c>
      <c r="C25" s="8" t="s">
        <v>34</v>
      </c>
      <c r="D25" s="38" t="n">
        <v>0.05</v>
      </c>
      <c r="E25" s="25" t="s">
        <v>115</v>
      </c>
    </row>
    <row r="26" customFormat="false" ht="34.5" hidden="false" customHeight="true" outlineLevel="0" collapsed="false">
      <c r="B26" s="8" t="s">
        <v>36</v>
      </c>
      <c r="C26" s="8" t="s">
        <v>35</v>
      </c>
      <c r="D26" s="38" t="n">
        <v>0.1</v>
      </c>
      <c r="E26" s="25" t="s">
        <v>116</v>
      </c>
    </row>
    <row r="27" customFormat="false" ht="34.5" hidden="false" customHeight="true" outlineLevel="0" collapsed="false">
      <c r="B27" s="8" t="s">
        <v>37</v>
      </c>
      <c r="C27" s="8" t="s">
        <v>32</v>
      </c>
      <c r="D27" s="38" t="n">
        <v>0.05</v>
      </c>
      <c r="E27" s="25" t="s">
        <v>117</v>
      </c>
    </row>
    <row r="28" customFormat="false" ht="34.5" hidden="false" customHeight="true" outlineLevel="0" collapsed="false">
      <c r="B28" s="8" t="s">
        <v>37</v>
      </c>
      <c r="C28" s="8" t="s">
        <v>33</v>
      </c>
      <c r="D28" s="38" t="n">
        <v>0.08</v>
      </c>
      <c r="E28" s="25" t="s">
        <v>118</v>
      </c>
    </row>
  </sheetData>
  <mergeCells count="3">
    <mergeCell ref="B2:E2"/>
    <mergeCell ref="B4:E4"/>
    <mergeCell ref="B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14"/>
    <col collapsed="false" customWidth="true" hidden="false" outlineLevel="0" max="4" min="4" style="0" width="40"/>
    <col collapsed="false" customWidth="true" hidden="false" outlineLevel="0" max="5" min="5" style="0" width="11"/>
    <col collapsed="false" customWidth="true" hidden="false" outlineLevel="0" max="7" min="6" style="0" width="9"/>
    <col collapsed="false" customWidth="true" hidden="false" outlineLevel="0" max="8" min="8" style="0" width="12"/>
  </cols>
  <sheetData>
    <row r="2" customFormat="false" ht="27.75" hidden="false" customHeight="true" outlineLevel="0" collapsed="false">
      <c r="B2" s="1" t="s">
        <v>119</v>
      </c>
      <c r="C2" s="1"/>
      <c r="D2" s="1"/>
      <c r="E2" s="1"/>
      <c r="F2" s="1"/>
      <c r="G2" s="1"/>
      <c r="H2" s="1"/>
    </row>
    <row r="4" customFormat="false" ht="15" hidden="false" customHeight="false" outlineLevel="0" collapsed="false">
      <c r="B4" s="7" t="s">
        <v>120</v>
      </c>
      <c r="C4" s="7" t="s">
        <v>26</v>
      </c>
      <c r="D4" s="7" t="s">
        <v>121</v>
      </c>
      <c r="E4" s="7" t="s">
        <v>122</v>
      </c>
      <c r="F4" s="7" t="s">
        <v>123</v>
      </c>
      <c r="G4" s="7" t="s">
        <v>124</v>
      </c>
      <c r="H4" s="7" t="s">
        <v>125</v>
      </c>
    </row>
    <row r="5" customFormat="false" ht="15" hidden="false" customHeight="false" outlineLevel="0" collapsed="false">
      <c r="B5" s="39" t="s">
        <v>126</v>
      </c>
      <c r="C5" s="40" t="s">
        <v>32</v>
      </c>
      <c r="D5" s="40" t="s">
        <v>127</v>
      </c>
      <c r="E5" s="41" t="s">
        <v>128</v>
      </c>
      <c r="F5" s="19" t="n">
        <v>5</v>
      </c>
      <c r="G5" s="42" t="n">
        <v>0.25</v>
      </c>
      <c r="H5" s="20" t="n">
        <v>12</v>
      </c>
    </row>
    <row r="6" customFormat="false" ht="23.85" hidden="false" customHeight="false" outlineLevel="0" collapsed="false">
      <c r="B6" s="39" t="s">
        <v>129</v>
      </c>
      <c r="C6" s="40" t="s">
        <v>32</v>
      </c>
      <c r="D6" s="40" t="s">
        <v>130</v>
      </c>
      <c r="E6" s="43" t="s">
        <v>131</v>
      </c>
      <c r="F6" s="19" t="n">
        <v>5</v>
      </c>
      <c r="G6" s="42" t="n">
        <v>0.1</v>
      </c>
      <c r="H6" s="20" t="n">
        <v>7</v>
      </c>
    </row>
    <row r="7" customFormat="false" ht="15" hidden="false" customHeight="false" outlineLevel="0" collapsed="false">
      <c r="B7" s="39" t="s">
        <v>132</v>
      </c>
      <c r="C7" s="40" t="s">
        <v>32</v>
      </c>
      <c r="D7" s="40" t="s">
        <v>133</v>
      </c>
      <c r="E7" s="43" t="s">
        <v>131</v>
      </c>
      <c r="F7" s="19" t="n">
        <v>5</v>
      </c>
      <c r="G7" s="42" t="n">
        <v>0.2</v>
      </c>
      <c r="H7" s="20" t="n">
        <v>4</v>
      </c>
    </row>
    <row r="8" customFormat="false" ht="15" hidden="false" customHeight="false" outlineLevel="0" collapsed="false">
      <c r="B8" s="39" t="s">
        <v>134</v>
      </c>
      <c r="C8" s="40" t="s">
        <v>32</v>
      </c>
      <c r="D8" s="40" t="s">
        <v>135</v>
      </c>
      <c r="E8" s="43" t="s">
        <v>131</v>
      </c>
      <c r="F8" s="19" t="n">
        <v>4</v>
      </c>
      <c r="G8" s="42" t="n">
        <v>0.1</v>
      </c>
      <c r="H8" s="20" t="n">
        <v>12</v>
      </c>
    </row>
    <row r="9" customFormat="false" ht="15" hidden="false" customHeight="false" outlineLevel="0" collapsed="false">
      <c r="B9" s="39" t="s">
        <v>136</v>
      </c>
      <c r="C9" s="40" t="s">
        <v>32</v>
      </c>
      <c r="D9" s="40" t="s">
        <v>137</v>
      </c>
      <c r="E9" s="43" t="s">
        <v>131</v>
      </c>
      <c r="F9" s="19" t="n">
        <v>5</v>
      </c>
      <c r="G9" s="42" t="n">
        <v>0.12</v>
      </c>
      <c r="H9" s="20" t="n">
        <v>12</v>
      </c>
    </row>
    <row r="10" customFormat="false" ht="15" hidden="false" customHeight="false" outlineLevel="0" collapsed="false">
      <c r="B10" s="39" t="s">
        <v>138</v>
      </c>
      <c r="C10" s="40" t="s">
        <v>32</v>
      </c>
      <c r="D10" s="40" t="s">
        <v>139</v>
      </c>
      <c r="E10" s="41" t="s">
        <v>128</v>
      </c>
      <c r="F10" s="19" t="n">
        <v>4</v>
      </c>
      <c r="G10" s="42" t="n">
        <v>0.2</v>
      </c>
      <c r="H10" s="20" t="n">
        <v>12</v>
      </c>
    </row>
    <row r="11" customFormat="false" ht="15" hidden="false" customHeight="false" outlineLevel="0" collapsed="false">
      <c r="B11" s="39" t="s">
        <v>140</v>
      </c>
      <c r="C11" s="40" t="s">
        <v>32</v>
      </c>
      <c r="D11" s="40" t="s">
        <v>141</v>
      </c>
      <c r="E11" s="43" t="s">
        <v>131</v>
      </c>
      <c r="F11" s="19" t="n">
        <v>5</v>
      </c>
      <c r="G11" s="42" t="n">
        <v>0.08</v>
      </c>
      <c r="H11" s="20" t="n">
        <v>4</v>
      </c>
    </row>
    <row r="12" customFormat="false" ht="15" hidden="false" customHeight="false" outlineLevel="0" collapsed="false">
      <c r="B12" s="39" t="s">
        <v>142</v>
      </c>
      <c r="C12" s="40" t="s">
        <v>32</v>
      </c>
      <c r="D12" s="40" t="s">
        <v>143</v>
      </c>
      <c r="E12" s="43" t="s">
        <v>131</v>
      </c>
      <c r="F12" s="19" t="n">
        <v>4</v>
      </c>
      <c r="G12" s="42" t="n">
        <v>0.08</v>
      </c>
      <c r="H12" s="20" t="n">
        <v>4</v>
      </c>
    </row>
    <row r="13" customFormat="false" ht="15" hidden="false" customHeight="false" outlineLevel="0" collapsed="false">
      <c r="B13" s="39" t="s">
        <v>144</v>
      </c>
      <c r="C13" s="40" t="s">
        <v>32</v>
      </c>
      <c r="D13" s="40" t="s">
        <v>145</v>
      </c>
      <c r="E13" s="43" t="s">
        <v>131</v>
      </c>
      <c r="F13" s="19" t="n">
        <v>4</v>
      </c>
      <c r="G13" s="42" t="n">
        <v>0.12</v>
      </c>
      <c r="H13" s="20" t="n">
        <v>9</v>
      </c>
    </row>
    <row r="14" customFormat="false" ht="15" hidden="false" customHeight="false" outlineLevel="0" collapsed="false">
      <c r="B14" s="39" t="s">
        <v>146</v>
      </c>
      <c r="C14" s="40" t="s">
        <v>32</v>
      </c>
      <c r="D14" s="40" t="s">
        <v>147</v>
      </c>
      <c r="E14" s="43" t="s">
        <v>131</v>
      </c>
      <c r="F14" s="19" t="n">
        <v>4</v>
      </c>
      <c r="G14" s="42" t="n">
        <v>0.06</v>
      </c>
      <c r="H14" s="20" t="n">
        <v>4</v>
      </c>
    </row>
    <row r="15" customFormat="false" ht="15" hidden="false" customHeight="false" outlineLevel="0" collapsed="false">
      <c r="B15" s="39" t="s">
        <v>148</v>
      </c>
      <c r="C15" s="40" t="s">
        <v>32</v>
      </c>
      <c r="D15" s="40" t="s">
        <v>149</v>
      </c>
      <c r="E15" s="41" t="s">
        <v>128</v>
      </c>
      <c r="F15" s="19" t="n">
        <v>5</v>
      </c>
      <c r="G15" s="42" t="n">
        <v>0.12</v>
      </c>
      <c r="H15" s="20" t="n">
        <v>10</v>
      </c>
    </row>
    <row r="16" customFormat="false" ht="15" hidden="false" customHeight="false" outlineLevel="0" collapsed="false">
      <c r="B16" s="39" t="s">
        <v>150</v>
      </c>
      <c r="C16" s="40" t="s">
        <v>32</v>
      </c>
      <c r="D16" s="40" t="s">
        <v>151</v>
      </c>
      <c r="E16" s="43" t="s">
        <v>131</v>
      </c>
      <c r="F16" s="19" t="n">
        <v>3</v>
      </c>
      <c r="G16" s="42" t="n">
        <v>0.07</v>
      </c>
      <c r="H16" s="20" t="n">
        <v>9</v>
      </c>
    </row>
    <row r="17" customFormat="false" ht="15" hidden="false" customHeight="false" outlineLevel="0" collapsed="false">
      <c r="B17" s="39" t="s">
        <v>152</v>
      </c>
      <c r="C17" s="40" t="s">
        <v>32</v>
      </c>
      <c r="D17" s="40" t="s">
        <v>153</v>
      </c>
      <c r="E17" s="43" t="s">
        <v>131</v>
      </c>
      <c r="F17" s="19" t="n">
        <v>4</v>
      </c>
      <c r="G17" s="42" t="n">
        <v>0.07</v>
      </c>
      <c r="H17" s="20" t="n">
        <v>3</v>
      </c>
    </row>
    <row r="18" customFormat="false" ht="15" hidden="false" customHeight="false" outlineLevel="0" collapsed="false">
      <c r="B18" s="39" t="s">
        <v>154</v>
      </c>
      <c r="C18" s="40" t="s">
        <v>32</v>
      </c>
      <c r="D18" s="40" t="s">
        <v>155</v>
      </c>
      <c r="E18" s="43" t="s">
        <v>131</v>
      </c>
      <c r="F18" s="19" t="n">
        <v>4</v>
      </c>
      <c r="G18" s="42" t="n">
        <v>0.06</v>
      </c>
      <c r="H18" s="20" t="n">
        <v>3</v>
      </c>
    </row>
    <row r="19" customFormat="false" ht="15" hidden="false" customHeight="false" outlineLevel="0" collapsed="false">
      <c r="B19" s="39" t="s">
        <v>156</v>
      </c>
      <c r="C19" s="40" t="s">
        <v>32</v>
      </c>
      <c r="D19" s="40" t="s">
        <v>157</v>
      </c>
      <c r="E19" s="41" t="s">
        <v>128</v>
      </c>
      <c r="F19" s="19" t="n">
        <v>5</v>
      </c>
      <c r="G19" s="42" t="n">
        <v>0.12</v>
      </c>
      <c r="H19" s="20" t="n">
        <v>7</v>
      </c>
    </row>
    <row r="20" customFormat="false" ht="15" hidden="false" customHeight="false" outlineLevel="0" collapsed="false">
      <c r="B20" s="39" t="s">
        <v>158</v>
      </c>
      <c r="C20" s="40" t="s">
        <v>32</v>
      </c>
      <c r="D20" s="40" t="s">
        <v>159</v>
      </c>
      <c r="E20" s="43" t="s">
        <v>131</v>
      </c>
      <c r="F20" s="19" t="n">
        <v>5</v>
      </c>
      <c r="G20" s="42" t="n">
        <v>0.15</v>
      </c>
      <c r="H20" s="20" t="n">
        <v>12</v>
      </c>
    </row>
    <row r="21" customFormat="false" ht="15" hidden="false" customHeight="false" outlineLevel="0" collapsed="false">
      <c r="B21" s="39" t="s">
        <v>160</v>
      </c>
      <c r="C21" s="40" t="s">
        <v>32</v>
      </c>
      <c r="D21" s="40" t="s">
        <v>161</v>
      </c>
      <c r="E21" s="43" t="s">
        <v>131</v>
      </c>
      <c r="F21" s="19" t="n">
        <v>5</v>
      </c>
      <c r="G21" s="42" t="n">
        <v>0.14</v>
      </c>
      <c r="H21" s="20" t="n">
        <v>12</v>
      </c>
    </row>
    <row r="22" customFormat="false" ht="15" hidden="false" customHeight="false" outlineLevel="0" collapsed="false">
      <c r="B22" s="39" t="s">
        <v>162</v>
      </c>
      <c r="C22" s="40" t="s">
        <v>32</v>
      </c>
      <c r="D22" s="40" t="s">
        <v>163</v>
      </c>
      <c r="E22" s="43" t="s">
        <v>131</v>
      </c>
      <c r="F22" s="19" t="n">
        <v>4</v>
      </c>
      <c r="G22" s="42" t="n">
        <v>0.1</v>
      </c>
      <c r="H22" s="20" t="n">
        <v>12</v>
      </c>
    </row>
    <row r="23" customFormat="false" ht="15" hidden="false" customHeight="false" outlineLevel="0" collapsed="false">
      <c r="B23" s="39" t="s">
        <v>164</v>
      </c>
      <c r="C23" s="40" t="s">
        <v>32</v>
      </c>
      <c r="D23" s="40" t="s">
        <v>165</v>
      </c>
      <c r="E23" s="43" t="s">
        <v>131</v>
      </c>
      <c r="F23" s="19" t="n">
        <v>4</v>
      </c>
      <c r="G23" s="42" t="n">
        <v>0.08</v>
      </c>
      <c r="H23" s="20" t="n">
        <v>12</v>
      </c>
    </row>
    <row r="24" customFormat="false" ht="15" hidden="false" customHeight="false" outlineLevel="0" collapsed="false">
      <c r="B24" s="39" t="s">
        <v>166</v>
      </c>
      <c r="C24" s="40" t="s">
        <v>32</v>
      </c>
      <c r="D24" s="40" t="s">
        <v>167</v>
      </c>
      <c r="E24" s="43" t="s">
        <v>131</v>
      </c>
      <c r="F24" s="19" t="n">
        <v>4</v>
      </c>
      <c r="G24" s="42" t="n">
        <v>0.1</v>
      </c>
      <c r="H24" s="20" t="n">
        <v>4</v>
      </c>
    </row>
    <row r="25" customFormat="false" ht="15" hidden="false" customHeight="false" outlineLevel="0" collapsed="false">
      <c r="B25" s="39" t="s">
        <v>168</v>
      </c>
      <c r="C25" s="40" t="s">
        <v>32</v>
      </c>
      <c r="D25" s="40" t="s">
        <v>169</v>
      </c>
      <c r="E25" s="41" t="s">
        <v>128</v>
      </c>
      <c r="F25" s="19" t="n">
        <v>3</v>
      </c>
      <c r="G25" s="42" t="n">
        <v>0.06</v>
      </c>
      <c r="H25" s="20" t="n">
        <v>4</v>
      </c>
    </row>
    <row r="26" customFormat="false" ht="15" hidden="false" customHeight="false" outlineLevel="0" collapsed="false">
      <c r="B26" s="39" t="s">
        <v>170</v>
      </c>
      <c r="C26" s="40" t="s">
        <v>32</v>
      </c>
      <c r="D26" s="40" t="s">
        <v>171</v>
      </c>
      <c r="E26" s="43" t="s">
        <v>131</v>
      </c>
      <c r="F26" s="19" t="n">
        <v>3</v>
      </c>
      <c r="G26" s="42" t="n">
        <v>0.05</v>
      </c>
      <c r="H26" s="20" t="n">
        <v>8</v>
      </c>
    </row>
    <row r="27" customFormat="false" ht="15" hidden="false" customHeight="false" outlineLevel="0" collapsed="false">
      <c r="B27" s="39" t="s">
        <v>172</v>
      </c>
      <c r="C27" s="40" t="s">
        <v>32</v>
      </c>
      <c r="D27" s="40" t="s">
        <v>173</v>
      </c>
      <c r="E27" s="43" t="s">
        <v>131</v>
      </c>
      <c r="F27" s="19" t="n">
        <v>4</v>
      </c>
      <c r="G27" s="42" t="n">
        <v>0.08</v>
      </c>
      <c r="H27" s="20" t="n">
        <v>4</v>
      </c>
    </row>
    <row r="28" customFormat="false" ht="15" hidden="false" customHeight="false" outlineLevel="0" collapsed="false">
      <c r="B28" s="39" t="s">
        <v>174</v>
      </c>
      <c r="C28" s="40" t="s">
        <v>35</v>
      </c>
      <c r="D28" s="40" t="s">
        <v>175</v>
      </c>
      <c r="E28" s="41" t="s">
        <v>128</v>
      </c>
      <c r="F28" s="19" t="n">
        <v>5</v>
      </c>
      <c r="G28" s="42" t="n">
        <v>0.12</v>
      </c>
      <c r="H28" s="20" t="n">
        <v>12</v>
      </c>
    </row>
    <row r="29" customFormat="false" ht="15" hidden="false" customHeight="false" outlineLevel="0" collapsed="false">
      <c r="B29" s="39" t="s">
        <v>176</v>
      </c>
      <c r="C29" s="40" t="s">
        <v>35</v>
      </c>
      <c r="D29" s="40" t="s">
        <v>177</v>
      </c>
      <c r="E29" s="41" t="s">
        <v>128</v>
      </c>
      <c r="F29" s="19" t="n">
        <v>5</v>
      </c>
      <c r="G29" s="42" t="n">
        <v>0.1</v>
      </c>
      <c r="H29" s="20" t="n">
        <v>12</v>
      </c>
    </row>
    <row r="30" customFormat="false" ht="15" hidden="false" customHeight="false" outlineLevel="0" collapsed="false">
      <c r="B30" s="39" t="s">
        <v>178</v>
      </c>
      <c r="C30" s="40" t="s">
        <v>35</v>
      </c>
      <c r="D30" s="40" t="s">
        <v>179</v>
      </c>
      <c r="E30" s="41" t="s">
        <v>128</v>
      </c>
      <c r="F30" s="19" t="n">
        <v>4</v>
      </c>
      <c r="G30" s="42" t="n">
        <v>0.15</v>
      </c>
      <c r="H30" s="20" t="n">
        <v>11</v>
      </c>
    </row>
    <row r="31" customFormat="false" ht="15" hidden="false" customHeight="false" outlineLevel="0" collapsed="false">
      <c r="B31" s="39" t="s">
        <v>180</v>
      </c>
      <c r="C31" s="40" t="s">
        <v>35</v>
      </c>
      <c r="D31" s="40" t="s">
        <v>181</v>
      </c>
      <c r="E31" s="41" t="s">
        <v>128</v>
      </c>
      <c r="F31" s="19" t="n">
        <v>5</v>
      </c>
      <c r="G31" s="42" t="n">
        <v>0.07</v>
      </c>
      <c r="H31" s="20" t="n">
        <v>12</v>
      </c>
    </row>
    <row r="32" customFormat="false" ht="15" hidden="false" customHeight="false" outlineLevel="0" collapsed="false">
      <c r="B32" s="39" t="s">
        <v>182</v>
      </c>
      <c r="C32" s="40" t="s">
        <v>35</v>
      </c>
      <c r="D32" s="40" t="s">
        <v>183</v>
      </c>
      <c r="E32" s="41" t="s">
        <v>128</v>
      </c>
      <c r="F32" s="19" t="n">
        <v>5</v>
      </c>
      <c r="G32" s="42" t="n">
        <v>0.08</v>
      </c>
      <c r="H32" s="20" t="n">
        <v>12</v>
      </c>
    </row>
    <row r="33" customFormat="false" ht="15" hidden="false" customHeight="false" outlineLevel="0" collapsed="false">
      <c r="B33" s="39" t="s">
        <v>184</v>
      </c>
      <c r="C33" s="40" t="s">
        <v>35</v>
      </c>
      <c r="D33" s="40" t="s">
        <v>185</v>
      </c>
      <c r="E33" s="41" t="s">
        <v>128</v>
      </c>
      <c r="F33" s="19" t="n">
        <v>4</v>
      </c>
      <c r="G33" s="42" t="n">
        <v>0.05</v>
      </c>
      <c r="H33" s="20" t="n">
        <v>12</v>
      </c>
    </row>
    <row r="34" customFormat="false" ht="15" hidden="false" customHeight="false" outlineLevel="0" collapsed="false">
      <c r="B34" s="39" t="s">
        <v>186</v>
      </c>
      <c r="C34" s="40" t="s">
        <v>35</v>
      </c>
      <c r="D34" s="40" t="s">
        <v>187</v>
      </c>
      <c r="E34" s="41" t="s">
        <v>128</v>
      </c>
      <c r="F34" s="19" t="n">
        <v>4</v>
      </c>
      <c r="G34" s="42" t="n">
        <v>0.03</v>
      </c>
      <c r="H34" s="20" t="n">
        <v>12</v>
      </c>
    </row>
    <row r="35" customFormat="false" ht="15" hidden="false" customHeight="false" outlineLevel="0" collapsed="false">
      <c r="B35" s="39" t="s">
        <v>188</v>
      </c>
      <c r="C35" s="40" t="s">
        <v>35</v>
      </c>
      <c r="D35" s="40" t="s">
        <v>189</v>
      </c>
      <c r="E35" s="41" t="s">
        <v>128</v>
      </c>
      <c r="F35" s="19" t="n">
        <v>5</v>
      </c>
      <c r="G35" s="42" t="n">
        <v>0.1</v>
      </c>
      <c r="H35" s="20" t="n">
        <v>12</v>
      </c>
    </row>
    <row r="36" customFormat="false" ht="15" hidden="false" customHeight="false" outlineLevel="0" collapsed="false">
      <c r="B36" s="39" t="s">
        <v>190</v>
      </c>
      <c r="C36" s="40" t="s">
        <v>35</v>
      </c>
      <c r="D36" s="40" t="s">
        <v>191</v>
      </c>
      <c r="E36" s="41" t="s">
        <v>128</v>
      </c>
      <c r="F36" s="19" t="n">
        <v>5</v>
      </c>
      <c r="G36" s="42" t="n">
        <v>0.12</v>
      </c>
      <c r="H36" s="20" t="n">
        <v>12</v>
      </c>
    </row>
    <row r="37" customFormat="false" ht="15" hidden="false" customHeight="false" outlineLevel="0" collapsed="false">
      <c r="B37" s="39" t="s">
        <v>192</v>
      </c>
      <c r="C37" s="40" t="s">
        <v>35</v>
      </c>
      <c r="D37" s="40" t="s">
        <v>193</v>
      </c>
      <c r="E37" s="41" t="s">
        <v>128</v>
      </c>
      <c r="F37" s="19" t="n">
        <v>5</v>
      </c>
      <c r="G37" s="42" t="n">
        <v>0.05</v>
      </c>
      <c r="H37" s="20" t="n">
        <v>12</v>
      </c>
    </row>
    <row r="38" customFormat="false" ht="15" hidden="false" customHeight="false" outlineLevel="0" collapsed="false">
      <c r="B38" s="39" t="s">
        <v>194</v>
      </c>
      <c r="C38" s="40" t="s">
        <v>35</v>
      </c>
      <c r="D38" s="40" t="s">
        <v>195</v>
      </c>
      <c r="E38" s="41" t="s">
        <v>128</v>
      </c>
      <c r="F38" s="19" t="n">
        <v>4</v>
      </c>
      <c r="G38" s="42" t="n">
        <v>0.06</v>
      </c>
      <c r="H38" s="20" t="n">
        <v>12</v>
      </c>
    </row>
    <row r="39" customFormat="false" ht="15" hidden="false" customHeight="false" outlineLevel="0" collapsed="false">
      <c r="B39" s="39" t="s">
        <v>196</v>
      </c>
      <c r="C39" s="40" t="s">
        <v>35</v>
      </c>
      <c r="D39" s="40" t="s">
        <v>197</v>
      </c>
      <c r="E39" s="43" t="s">
        <v>131</v>
      </c>
      <c r="F39" s="19" t="n">
        <v>3</v>
      </c>
      <c r="G39" s="42" t="n">
        <v>0.05</v>
      </c>
      <c r="H39" s="20" t="n">
        <v>4</v>
      </c>
    </row>
    <row r="40" customFormat="false" ht="15" hidden="false" customHeight="false" outlineLevel="0" collapsed="false">
      <c r="B40" s="39" t="s">
        <v>198</v>
      </c>
      <c r="C40" s="40" t="s">
        <v>34</v>
      </c>
      <c r="D40" s="40" t="s">
        <v>199</v>
      </c>
      <c r="E40" s="43" t="s">
        <v>131</v>
      </c>
      <c r="F40" s="19" t="n">
        <v>5</v>
      </c>
      <c r="G40" s="42" t="n">
        <v>0.1</v>
      </c>
      <c r="H40" s="20" t="n">
        <v>12</v>
      </c>
    </row>
    <row r="41" customFormat="false" ht="15" hidden="false" customHeight="false" outlineLevel="0" collapsed="false">
      <c r="B41" s="39" t="s">
        <v>200</v>
      </c>
      <c r="C41" s="40" t="s">
        <v>34</v>
      </c>
      <c r="D41" s="40" t="s">
        <v>201</v>
      </c>
      <c r="E41" s="43" t="s">
        <v>131</v>
      </c>
      <c r="F41" s="19" t="n">
        <v>4</v>
      </c>
      <c r="G41" s="42" t="n">
        <v>0.1</v>
      </c>
      <c r="H41" s="20" t="n">
        <v>12</v>
      </c>
    </row>
    <row r="42" customFormat="false" ht="15" hidden="false" customHeight="false" outlineLevel="0" collapsed="false">
      <c r="B42" s="39" t="s">
        <v>202</v>
      </c>
      <c r="C42" s="40" t="s">
        <v>34</v>
      </c>
      <c r="D42" s="40" t="s">
        <v>203</v>
      </c>
      <c r="E42" s="43" t="s">
        <v>131</v>
      </c>
      <c r="F42" s="19" t="n">
        <v>4</v>
      </c>
      <c r="G42" s="42" t="n">
        <v>0.07</v>
      </c>
      <c r="H42" s="20" t="n">
        <v>12</v>
      </c>
    </row>
    <row r="43" customFormat="false" ht="15" hidden="false" customHeight="false" outlineLevel="0" collapsed="false">
      <c r="B43" s="39" t="s">
        <v>204</v>
      </c>
      <c r="C43" s="40" t="s">
        <v>34</v>
      </c>
      <c r="D43" s="40" t="s">
        <v>205</v>
      </c>
      <c r="E43" s="43" t="s">
        <v>131</v>
      </c>
      <c r="F43" s="19" t="n">
        <v>4</v>
      </c>
      <c r="G43" s="42" t="n">
        <v>0.08</v>
      </c>
      <c r="H43" s="20" t="n">
        <v>8</v>
      </c>
    </row>
    <row r="44" customFormat="false" ht="15" hidden="false" customHeight="false" outlineLevel="0" collapsed="false">
      <c r="B44" s="39" t="s">
        <v>206</v>
      </c>
      <c r="C44" s="40" t="s">
        <v>34</v>
      </c>
      <c r="D44" s="40" t="s">
        <v>207</v>
      </c>
      <c r="E44" s="43" t="s">
        <v>131</v>
      </c>
      <c r="F44" s="19" t="n">
        <v>4</v>
      </c>
      <c r="G44" s="42" t="n">
        <v>0.06</v>
      </c>
      <c r="H44" s="20" t="n">
        <v>12</v>
      </c>
    </row>
    <row r="45" customFormat="false" ht="15" hidden="false" customHeight="false" outlineLevel="0" collapsed="false">
      <c r="B45" s="39" t="s">
        <v>208</v>
      </c>
      <c r="C45" s="40" t="s">
        <v>34</v>
      </c>
      <c r="D45" s="40" t="s">
        <v>209</v>
      </c>
      <c r="E45" s="41" t="s">
        <v>128</v>
      </c>
      <c r="F45" s="19" t="n">
        <v>5</v>
      </c>
      <c r="G45" s="42" t="n">
        <v>0.14</v>
      </c>
      <c r="H45" s="20" t="n">
        <v>12</v>
      </c>
    </row>
    <row r="46" customFormat="false" ht="15" hidden="false" customHeight="false" outlineLevel="0" collapsed="false">
      <c r="B46" s="39" t="s">
        <v>210</v>
      </c>
      <c r="C46" s="40" t="s">
        <v>34</v>
      </c>
      <c r="D46" s="40" t="s">
        <v>211</v>
      </c>
      <c r="E46" s="43" t="s">
        <v>131</v>
      </c>
      <c r="F46" s="19" t="n">
        <v>3</v>
      </c>
      <c r="G46" s="42" t="n">
        <v>0.04</v>
      </c>
      <c r="H46" s="20" t="n">
        <v>7</v>
      </c>
    </row>
    <row r="47" customFormat="false" ht="15" hidden="false" customHeight="false" outlineLevel="0" collapsed="false">
      <c r="B47" s="39" t="s">
        <v>212</v>
      </c>
      <c r="C47" s="40" t="s">
        <v>34</v>
      </c>
      <c r="D47" s="40" t="s">
        <v>213</v>
      </c>
      <c r="E47" s="43" t="s">
        <v>131</v>
      </c>
      <c r="F47" s="19" t="n">
        <v>4</v>
      </c>
      <c r="G47" s="42" t="n">
        <v>0.07</v>
      </c>
      <c r="H47" s="20" t="n">
        <v>5</v>
      </c>
    </row>
    <row r="48" customFormat="false" ht="15" hidden="false" customHeight="false" outlineLevel="0" collapsed="false">
      <c r="B48" s="39" t="s">
        <v>214</v>
      </c>
      <c r="C48" s="40" t="s">
        <v>34</v>
      </c>
      <c r="D48" s="40" t="s">
        <v>215</v>
      </c>
      <c r="E48" s="41" t="s">
        <v>128</v>
      </c>
      <c r="F48" s="19" t="n">
        <v>5</v>
      </c>
      <c r="G48" s="42" t="n">
        <v>0.1</v>
      </c>
      <c r="H48" s="20" t="n">
        <v>12</v>
      </c>
    </row>
    <row r="49" customFormat="false" ht="15" hidden="false" customHeight="false" outlineLevel="0" collapsed="false">
      <c r="B49" s="39" t="s">
        <v>216</v>
      </c>
      <c r="C49" s="40" t="s">
        <v>34</v>
      </c>
      <c r="D49" s="40" t="s">
        <v>217</v>
      </c>
      <c r="E49" s="43" t="s">
        <v>131</v>
      </c>
      <c r="F49" s="19" t="n">
        <v>5</v>
      </c>
      <c r="G49" s="42" t="n">
        <v>0.06</v>
      </c>
      <c r="H49" s="20" t="n">
        <v>12</v>
      </c>
    </row>
    <row r="50" customFormat="false" ht="15" hidden="false" customHeight="false" outlineLevel="0" collapsed="false">
      <c r="B50" s="39" t="s">
        <v>218</v>
      </c>
      <c r="C50" s="40" t="s">
        <v>34</v>
      </c>
      <c r="D50" s="40" t="s">
        <v>219</v>
      </c>
      <c r="E50" s="41" t="s">
        <v>128</v>
      </c>
      <c r="F50" s="19" t="n">
        <v>5</v>
      </c>
      <c r="G50" s="42" t="n">
        <v>0.18</v>
      </c>
      <c r="H50" s="20" t="n">
        <v>12</v>
      </c>
    </row>
    <row r="51" customFormat="false" ht="15" hidden="false" customHeight="false" outlineLevel="0" collapsed="false">
      <c r="B51" s="39" t="s">
        <v>220</v>
      </c>
      <c r="C51" s="40" t="s">
        <v>34</v>
      </c>
      <c r="D51" s="40" t="s">
        <v>221</v>
      </c>
      <c r="E51" s="41" t="s">
        <v>128</v>
      </c>
      <c r="F51" s="19" t="n">
        <v>4</v>
      </c>
      <c r="G51" s="42" t="n">
        <v>0.14</v>
      </c>
      <c r="H51" s="20" t="n">
        <v>12</v>
      </c>
    </row>
    <row r="52" customFormat="false" ht="15" hidden="false" customHeight="false" outlineLevel="0" collapsed="false">
      <c r="B52" s="39" t="s">
        <v>222</v>
      </c>
      <c r="C52" s="40" t="s">
        <v>34</v>
      </c>
      <c r="D52" s="40" t="s">
        <v>223</v>
      </c>
      <c r="E52" s="41" t="s">
        <v>128</v>
      </c>
      <c r="F52" s="19" t="n">
        <v>5</v>
      </c>
      <c r="G52" s="42" t="n">
        <v>0.12</v>
      </c>
      <c r="H52" s="20" t="n">
        <v>12</v>
      </c>
    </row>
    <row r="53" customFormat="false" ht="15" hidden="false" customHeight="false" outlineLevel="0" collapsed="false">
      <c r="B53" s="39" t="s">
        <v>224</v>
      </c>
      <c r="C53" s="40" t="s">
        <v>34</v>
      </c>
      <c r="D53" s="40" t="s">
        <v>225</v>
      </c>
      <c r="E53" s="43" t="s">
        <v>131</v>
      </c>
      <c r="F53" s="19" t="n">
        <v>3</v>
      </c>
      <c r="G53" s="42" t="n">
        <v>0.06</v>
      </c>
      <c r="H53" s="20" t="n">
        <v>4</v>
      </c>
    </row>
    <row r="54" customFormat="false" ht="15" hidden="false" customHeight="false" outlineLevel="0" collapsed="false">
      <c r="B54" s="39" t="s">
        <v>226</v>
      </c>
      <c r="C54" s="40" t="s">
        <v>34</v>
      </c>
      <c r="D54" s="40" t="s">
        <v>227</v>
      </c>
      <c r="E54" s="43" t="s">
        <v>131</v>
      </c>
      <c r="F54" s="19" t="n">
        <v>4</v>
      </c>
      <c r="G54" s="42" t="n">
        <v>0.12</v>
      </c>
      <c r="H54" s="20" t="n">
        <v>12</v>
      </c>
    </row>
    <row r="55" customFormat="false" ht="15" hidden="false" customHeight="false" outlineLevel="0" collapsed="false">
      <c r="B55" s="39" t="s">
        <v>228</v>
      </c>
      <c r="C55" s="40" t="s">
        <v>34</v>
      </c>
      <c r="D55" s="40" t="s">
        <v>229</v>
      </c>
      <c r="E55" s="43" t="s">
        <v>131</v>
      </c>
      <c r="F55" s="19" t="n">
        <v>3</v>
      </c>
      <c r="G55" s="42" t="n">
        <v>0.08</v>
      </c>
      <c r="H55" s="20" t="n">
        <v>12</v>
      </c>
    </row>
    <row r="56" customFormat="false" ht="15" hidden="false" customHeight="false" outlineLevel="0" collapsed="false">
      <c r="B56" s="39" t="s">
        <v>230</v>
      </c>
      <c r="C56" s="40" t="s">
        <v>36</v>
      </c>
      <c r="D56" s="40" t="s">
        <v>231</v>
      </c>
      <c r="E56" s="41" t="s">
        <v>128</v>
      </c>
      <c r="F56" s="19" t="n">
        <v>4</v>
      </c>
      <c r="G56" s="42" t="n">
        <v>0.12</v>
      </c>
      <c r="H56" s="20" t="n">
        <v>12</v>
      </c>
    </row>
    <row r="57" customFormat="false" ht="15" hidden="false" customHeight="false" outlineLevel="0" collapsed="false">
      <c r="B57" s="39" t="s">
        <v>232</v>
      </c>
      <c r="C57" s="40" t="s">
        <v>36</v>
      </c>
      <c r="D57" s="40" t="s">
        <v>233</v>
      </c>
      <c r="E57" s="43" t="s">
        <v>131</v>
      </c>
      <c r="F57" s="19" t="n">
        <v>4</v>
      </c>
      <c r="G57" s="42" t="n">
        <v>0.07</v>
      </c>
      <c r="H57" s="20" t="n">
        <v>12</v>
      </c>
    </row>
    <row r="58" customFormat="false" ht="15" hidden="false" customHeight="false" outlineLevel="0" collapsed="false">
      <c r="B58" s="39" t="s">
        <v>234</v>
      </c>
      <c r="C58" s="40" t="s">
        <v>36</v>
      </c>
      <c r="D58" s="40" t="s">
        <v>235</v>
      </c>
      <c r="E58" s="41" t="s">
        <v>128</v>
      </c>
      <c r="F58" s="19" t="n">
        <v>4</v>
      </c>
      <c r="G58" s="42" t="n">
        <v>0.04</v>
      </c>
      <c r="H58" s="20" t="n">
        <v>12</v>
      </c>
    </row>
    <row r="59" customFormat="false" ht="15" hidden="false" customHeight="false" outlineLevel="0" collapsed="false">
      <c r="B59" s="39" t="s">
        <v>236</v>
      </c>
      <c r="C59" s="40" t="s">
        <v>36</v>
      </c>
      <c r="D59" s="40" t="s">
        <v>237</v>
      </c>
      <c r="E59" s="41" t="s">
        <v>128</v>
      </c>
      <c r="F59" s="19" t="n">
        <v>5</v>
      </c>
      <c r="G59" s="42" t="n">
        <v>0.04</v>
      </c>
      <c r="H59" s="20" t="n">
        <v>12</v>
      </c>
    </row>
    <row r="60" customFormat="false" ht="15" hidden="false" customHeight="false" outlineLevel="0" collapsed="false">
      <c r="B60" s="39" t="s">
        <v>238</v>
      </c>
      <c r="C60" s="40" t="s">
        <v>36</v>
      </c>
      <c r="D60" s="40" t="s">
        <v>239</v>
      </c>
      <c r="E60" s="43" t="s">
        <v>131</v>
      </c>
      <c r="F60" s="19" t="n">
        <v>4</v>
      </c>
      <c r="G60" s="42" t="n">
        <v>0.08</v>
      </c>
      <c r="H60" s="20" t="n">
        <v>1</v>
      </c>
    </row>
    <row r="61" customFormat="false" ht="15" hidden="false" customHeight="false" outlineLevel="0" collapsed="false">
      <c r="B61" s="39" t="s">
        <v>240</v>
      </c>
      <c r="C61" s="40" t="s">
        <v>36</v>
      </c>
      <c r="D61" s="40" t="s">
        <v>241</v>
      </c>
      <c r="E61" s="41" t="s">
        <v>128</v>
      </c>
      <c r="F61" s="19" t="n">
        <v>4</v>
      </c>
      <c r="G61" s="42" t="n">
        <v>0.06</v>
      </c>
      <c r="H61" s="20" t="n">
        <v>12</v>
      </c>
    </row>
    <row r="62" customFormat="false" ht="15" hidden="false" customHeight="false" outlineLevel="0" collapsed="false">
      <c r="B62" s="39" t="s">
        <v>242</v>
      </c>
      <c r="C62" s="40" t="s">
        <v>36</v>
      </c>
      <c r="D62" s="40" t="s">
        <v>243</v>
      </c>
      <c r="E62" s="41" t="s">
        <v>128</v>
      </c>
      <c r="F62" s="19" t="n">
        <v>4</v>
      </c>
      <c r="G62" s="42" t="n">
        <v>0.07</v>
      </c>
      <c r="H62" s="20" t="n">
        <v>12</v>
      </c>
    </row>
    <row r="63" customFormat="false" ht="15" hidden="false" customHeight="false" outlineLevel="0" collapsed="false">
      <c r="B63" s="39" t="s">
        <v>244</v>
      </c>
      <c r="C63" s="40" t="s">
        <v>36</v>
      </c>
      <c r="D63" s="40" t="s">
        <v>245</v>
      </c>
      <c r="E63" s="43" t="s">
        <v>131</v>
      </c>
      <c r="F63" s="19" t="n">
        <v>3</v>
      </c>
      <c r="G63" s="42" t="n">
        <v>0.05</v>
      </c>
      <c r="H63" s="20" t="n">
        <v>5</v>
      </c>
    </row>
    <row r="64" customFormat="false" ht="15" hidden="false" customHeight="false" outlineLevel="0" collapsed="false">
      <c r="B64" s="39" t="s">
        <v>246</v>
      </c>
      <c r="C64" s="40" t="s">
        <v>36</v>
      </c>
      <c r="D64" s="40" t="s">
        <v>247</v>
      </c>
      <c r="E64" s="41" t="s">
        <v>128</v>
      </c>
      <c r="F64" s="19" t="n">
        <v>4</v>
      </c>
      <c r="G64" s="42" t="n">
        <v>0.06</v>
      </c>
      <c r="H64" s="20" t="n">
        <v>12</v>
      </c>
    </row>
    <row r="65" customFormat="false" ht="15" hidden="false" customHeight="false" outlineLevel="0" collapsed="false">
      <c r="B65" s="39" t="s">
        <v>248</v>
      </c>
      <c r="C65" s="40" t="s">
        <v>36</v>
      </c>
      <c r="D65" s="40" t="s">
        <v>249</v>
      </c>
      <c r="E65" s="41" t="s">
        <v>128</v>
      </c>
      <c r="F65" s="19" t="n">
        <v>4</v>
      </c>
      <c r="G65" s="42" t="n">
        <v>0.1</v>
      </c>
      <c r="H65" s="20" t="n">
        <v>12</v>
      </c>
    </row>
    <row r="66" customFormat="false" ht="15" hidden="false" customHeight="false" outlineLevel="0" collapsed="false">
      <c r="B66" s="39" t="s">
        <v>250</v>
      </c>
      <c r="C66" s="40" t="s">
        <v>36</v>
      </c>
      <c r="D66" s="40" t="s">
        <v>251</v>
      </c>
      <c r="E66" s="41" t="s">
        <v>128</v>
      </c>
      <c r="F66" s="19" t="n">
        <v>4</v>
      </c>
      <c r="G66" s="42" t="n">
        <v>0.05</v>
      </c>
      <c r="H66" s="20" t="n">
        <v>12</v>
      </c>
    </row>
    <row r="67" customFormat="false" ht="15" hidden="false" customHeight="false" outlineLevel="0" collapsed="false">
      <c r="B67" s="39" t="s">
        <v>252</v>
      </c>
      <c r="C67" s="40" t="s">
        <v>37</v>
      </c>
      <c r="D67" s="40" t="s">
        <v>253</v>
      </c>
      <c r="E67" s="43" t="s">
        <v>131</v>
      </c>
      <c r="F67" s="19" t="n">
        <v>5</v>
      </c>
      <c r="G67" s="42" t="n">
        <v>0.12</v>
      </c>
      <c r="H67" s="20" t="n">
        <v>8</v>
      </c>
    </row>
    <row r="68" customFormat="false" ht="15" hidden="false" customHeight="false" outlineLevel="0" collapsed="false">
      <c r="B68" s="39" t="s">
        <v>254</v>
      </c>
      <c r="C68" s="40" t="s">
        <v>37</v>
      </c>
      <c r="D68" s="40" t="s">
        <v>255</v>
      </c>
      <c r="E68" s="41" t="s">
        <v>128</v>
      </c>
      <c r="F68" s="19" t="n">
        <v>5</v>
      </c>
      <c r="G68" s="42" t="n">
        <v>0.15</v>
      </c>
      <c r="H68" s="20" t="n">
        <v>7</v>
      </c>
    </row>
    <row r="69" customFormat="false" ht="15" hidden="false" customHeight="false" outlineLevel="0" collapsed="false">
      <c r="B69" s="39" t="s">
        <v>256</v>
      </c>
      <c r="C69" s="40" t="s">
        <v>37</v>
      </c>
      <c r="D69" s="40" t="s">
        <v>257</v>
      </c>
      <c r="E69" s="41" t="s">
        <v>128</v>
      </c>
      <c r="F69" s="19" t="n">
        <v>5</v>
      </c>
      <c r="G69" s="42" t="n">
        <v>0.14</v>
      </c>
      <c r="H69" s="20" t="n">
        <v>12</v>
      </c>
    </row>
    <row r="70" customFormat="false" ht="15" hidden="false" customHeight="false" outlineLevel="0" collapsed="false">
      <c r="B70" s="39" t="s">
        <v>258</v>
      </c>
      <c r="C70" s="40" t="s">
        <v>37</v>
      </c>
      <c r="D70" s="40" t="s">
        <v>259</v>
      </c>
      <c r="E70" s="41" t="s">
        <v>128</v>
      </c>
      <c r="F70" s="19" t="n">
        <v>4</v>
      </c>
      <c r="G70" s="42" t="n">
        <v>0.08</v>
      </c>
      <c r="H70" s="20" t="n">
        <v>4</v>
      </c>
    </row>
    <row r="71" customFormat="false" ht="15" hidden="false" customHeight="false" outlineLevel="0" collapsed="false">
      <c r="B71" s="39" t="s">
        <v>260</v>
      </c>
      <c r="C71" s="40" t="s">
        <v>37</v>
      </c>
      <c r="D71" s="40" t="s">
        <v>261</v>
      </c>
      <c r="E71" s="41" t="s">
        <v>128</v>
      </c>
      <c r="F71" s="19" t="n">
        <v>3</v>
      </c>
      <c r="G71" s="42" t="n">
        <v>0.04</v>
      </c>
      <c r="H71" s="20" t="n">
        <v>11</v>
      </c>
    </row>
    <row r="72" customFormat="false" ht="15" hidden="false" customHeight="false" outlineLevel="0" collapsed="false">
      <c r="B72" s="39" t="s">
        <v>262</v>
      </c>
      <c r="C72" s="40" t="s">
        <v>37</v>
      </c>
      <c r="D72" s="40" t="s">
        <v>263</v>
      </c>
      <c r="E72" s="43" t="s">
        <v>131</v>
      </c>
      <c r="F72" s="19" t="n">
        <v>5</v>
      </c>
      <c r="G72" s="42" t="n">
        <v>0.14</v>
      </c>
      <c r="H72" s="20" t="n">
        <v>12</v>
      </c>
    </row>
    <row r="73" customFormat="false" ht="15" hidden="false" customHeight="false" outlineLevel="0" collapsed="false">
      <c r="B73" s="39" t="s">
        <v>264</v>
      </c>
      <c r="C73" s="40" t="s">
        <v>37</v>
      </c>
      <c r="D73" s="40" t="s">
        <v>265</v>
      </c>
      <c r="E73" s="41" t="s">
        <v>128</v>
      </c>
      <c r="F73" s="19" t="n">
        <v>5</v>
      </c>
      <c r="G73" s="42" t="n">
        <v>0.12</v>
      </c>
      <c r="H73" s="20" t="n">
        <v>4</v>
      </c>
    </row>
    <row r="74" customFormat="false" ht="15" hidden="false" customHeight="false" outlineLevel="0" collapsed="false">
      <c r="B74" s="39" t="s">
        <v>266</v>
      </c>
      <c r="C74" s="40" t="s">
        <v>37</v>
      </c>
      <c r="D74" s="40" t="s">
        <v>267</v>
      </c>
      <c r="E74" s="41" t="s">
        <v>128</v>
      </c>
      <c r="F74" s="19" t="n">
        <v>4</v>
      </c>
      <c r="G74" s="42" t="n">
        <v>0.1</v>
      </c>
      <c r="H74" s="20" t="n">
        <v>4</v>
      </c>
    </row>
    <row r="75" customFormat="false" ht="15" hidden="false" customHeight="false" outlineLevel="0" collapsed="false">
      <c r="B75" s="39" t="s">
        <v>268</v>
      </c>
      <c r="C75" s="40" t="s">
        <v>37</v>
      </c>
      <c r="D75" s="40" t="s">
        <v>269</v>
      </c>
      <c r="E75" s="43" t="s">
        <v>131</v>
      </c>
      <c r="F75" s="19" t="n">
        <v>4</v>
      </c>
      <c r="G75" s="42" t="n">
        <v>0.12</v>
      </c>
      <c r="H75" s="20" t="n">
        <v>12</v>
      </c>
    </row>
    <row r="76" customFormat="false" ht="15" hidden="false" customHeight="false" outlineLevel="0" collapsed="false">
      <c r="B76" s="39" t="s">
        <v>270</v>
      </c>
      <c r="C76" s="40" t="s">
        <v>37</v>
      </c>
      <c r="D76" s="40" t="s">
        <v>271</v>
      </c>
      <c r="E76" s="41" t="s">
        <v>128</v>
      </c>
      <c r="F76" s="19" t="n">
        <v>4</v>
      </c>
      <c r="G76" s="42" t="n">
        <v>0.1</v>
      </c>
      <c r="H76" s="20" t="n">
        <v>12</v>
      </c>
    </row>
    <row r="77" customFormat="false" ht="15" hidden="false" customHeight="false" outlineLevel="0" collapsed="false">
      <c r="B77" s="39" t="s">
        <v>272</v>
      </c>
      <c r="C77" s="40" t="s">
        <v>37</v>
      </c>
      <c r="D77" s="40" t="s">
        <v>273</v>
      </c>
      <c r="E77" s="41" t="s">
        <v>128</v>
      </c>
      <c r="F77" s="19" t="n">
        <v>4</v>
      </c>
      <c r="G77" s="42" t="n">
        <v>0.08</v>
      </c>
      <c r="H77" s="20" t="n">
        <v>4</v>
      </c>
    </row>
    <row r="78" customFormat="false" ht="15" hidden="false" customHeight="false" outlineLevel="0" collapsed="false">
      <c r="B78" s="39" t="s">
        <v>274</v>
      </c>
      <c r="C78" s="40" t="s">
        <v>37</v>
      </c>
      <c r="D78" s="40" t="s">
        <v>275</v>
      </c>
      <c r="E78" s="41" t="s">
        <v>128</v>
      </c>
      <c r="F78" s="19" t="n">
        <v>4</v>
      </c>
      <c r="G78" s="42" t="n">
        <v>0.07</v>
      </c>
      <c r="H78" s="20" t="n">
        <v>4</v>
      </c>
    </row>
    <row r="79" customFormat="false" ht="15" hidden="false" customHeight="false" outlineLevel="0" collapsed="false">
      <c r="B79" s="39" t="s">
        <v>276</v>
      </c>
      <c r="C79" s="40" t="s">
        <v>33</v>
      </c>
      <c r="D79" s="40" t="s">
        <v>277</v>
      </c>
      <c r="E79" s="41" t="s">
        <v>128</v>
      </c>
      <c r="F79" s="19" t="n">
        <v>5</v>
      </c>
      <c r="G79" s="42" t="n">
        <v>0.2</v>
      </c>
      <c r="H79" s="20" t="n">
        <v>12</v>
      </c>
    </row>
    <row r="80" customFormat="false" ht="15" hidden="false" customHeight="false" outlineLevel="0" collapsed="false">
      <c r="B80" s="39" t="s">
        <v>278</v>
      </c>
      <c r="C80" s="40" t="s">
        <v>33</v>
      </c>
      <c r="D80" s="40" t="s">
        <v>279</v>
      </c>
      <c r="E80" s="41" t="s">
        <v>128</v>
      </c>
      <c r="F80" s="19" t="n">
        <v>4</v>
      </c>
      <c r="G80" s="42" t="n">
        <v>0.08</v>
      </c>
      <c r="H80" s="20" t="n">
        <v>12</v>
      </c>
    </row>
    <row r="81" customFormat="false" ht="15" hidden="false" customHeight="false" outlineLevel="0" collapsed="false">
      <c r="B81" s="39" t="s">
        <v>280</v>
      </c>
      <c r="C81" s="40" t="s">
        <v>33</v>
      </c>
      <c r="D81" s="40" t="s">
        <v>281</v>
      </c>
      <c r="E81" s="41" t="s">
        <v>128</v>
      </c>
      <c r="F81" s="19" t="n">
        <v>5</v>
      </c>
      <c r="G81" s="42" t="n">
        <v>0.15</v>
      </c>
      <c r="H81" s="20" t="n">
        <v>12</v>
      </c>
    </row>
    <row r="82" customFormat="false" ht="15" hidden="false" customHeight="false" outlineLevel="0" collapsed="false">
      <c r="B82" s="39" t="s">
        <v>282</v>
      </c>
      <c r="C82" s="40" t="s">
        <v>33</v>
      </c>
      <c r="D82" s="40" t="s">
        <v>283</v>
      </c>
      <c r="E82" s="43" t="s">
        <v>131</v>
      </c>
      <c r="F82" s="19" t="n">
        <v>5</v>
      </c>
      <c r="G82" s="42" t="n">
        <v>0.1</v>
      </c>
      <c r="H82" s="20" t="n">
        <v>11</v>
      </c>
    </row>
    <row r="83" customFormat="false" ht="15" hidden="false" customHeight="false" outlineLevel="0" collapsed="false">
      <c r="B83" s="39" t="s">
        <v>284</v>
      </c>
      <c r="C83" s="40" t="s">
        <v>33</v>
      </c>
      <c r="D83" s="40" t="s">
        <v>285</v>
      </c>
      <c r="E83" s="41" t="s">
        <v>128</v>
      </c>
      <c r="F83" s="19" t="n">
        <v>4</v>
      </c>
      <c r="G83" s="42" t="n">
        <v>0.06</v>
      </c>
      <c r="H83" s="20" t="n">
        <v>12</v>
      </c>
    </row>
    <row r="84" customFormat="false" ht="23.85" hidden="false" customHeight="false" outlineLevel="0" collapsed="false">
      <c r="B84" s="39" t="s">
        <v>286</v>
      </c>
      <c r="C84" s="40" t="s">
        <v>33</v>
      </c>
      <c r="D84" s="40" t="s">
        <v>287</v>
      </c>
      <c r="E84" s="43" t="s">
        <v>131</v>
      </c>
      <c r="F84" s="19" t="n">
        <v>5</v>
      </c>
      <c r="G84" s="42" t="n">
        <v>0.12</v>
      </c>
      <c r="H84" s="20" t="n">
        <v>4</v>
      </c>
    </row>
    <row r="85" customFormat="false" ht="15" hidden="false" customHeight="false" outlineLevel="0" collapsed="false">
      <c r="B85" s="39" t="s">
        <v>288</v>
      </c>
      <c r="C85" s="40" t="s">
        <v>33</v>
      </c>
      <c r="D85" s="40" t="s">
        <v>289</v>
      </c>
      <c r="E85" s="41" t="s">
        <v>128</v>
      </c>
      <c r="F85" s="19" t="n">
        <v>5</v>
      </c>
      <c r="G85" s="42" t="n">
        <v>0.18</v>
      </c>
      <c r="H85" s="20" t="n">
        <v>12</v>
      </c>
    </row>
    <row r="86" customFormat="false" ht="15" hidden="false" customHeight="false" outlineLevel="0" collapsed="false">
      <c r="B86" s="39" t="s">
        <v>290</v>
      </c>
      <c r="C86" s="40" t="s">
        <v>33</v>
      </c>
      <c r="D86" s="40" t="s">
        <v>291</v>
      </c>
      <c r="E86" s="41" t="s">
        <v>128</v>
      </c>
      <c r="F86" s="19" t="n">
        <v>4</v>
      </c>
      <c r="G86" s="42" t="n">
        <v>0.12</v>
      </c>
      <c r="H86" s="20" t="n">
        <v>12</v>
      </c>
    </row>
  </sheetData>
  <mergeCells count="1">
    <mergeCell ref="B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2026-04-16T18:43:26Z</dcterms:created>
  <dc:creator>openpyxl</dc:creator>
  <dc:description/>
  <dc:language>en-US</dc:language>
  <cp:lastModifiedBy/>
  <dcterms:modified xsi:type="dcterms:W3CDTF">2026-04-16T18:43:26Z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